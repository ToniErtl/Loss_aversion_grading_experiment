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ntalertl/Desktop/r_projects/2023_loss_aversion_classroom_experiment_BCE/"/>
    </mc:Choice>
  </mc:AlternateContent>
  <xr:revisionPtr revIDLastSave="0" documentId="8_{E7326DD0-5DDB-1045-A0B5-A611C6AD7926}" xr6:coauthVersionLast="47" xr6:coauthVersionMax="47" xr10:uidLastSave="{00000000-0000-0000-0000-000000000000}"/>
  <bookViews>
    <workbookView xWindow="0" yWindow="660" windowWidth="28800" windowHeight="1898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Sheet1!$A$1:$X$472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2" i="1"/>
  <c r="X403" i="1"/>
  <c r="W403" i="1"/>
  <c r="V403" i="1"/>
  <c r="U403" i="1"/>
  <c r="T403" i="1"/>
  <c r="X402" i="1"/>
  <c r="W402" i="1"/>
  <c r="V402" i="1"/>
  <c r="U402" i="1"/>
  <c r="T402" i="1"/>
  <c r="X401" i="1"/>
  <c r="W401" i="1"/>
  <c r="V401" i="1"/>
  <c r="U401" i="1"/>
  <c r="T401" i="1"/>
  <c r="X400" i="1"/>
  <c r="W400" i="1"/>
  <c r="V400" i="1"/>
  <c r="U400" i="1"/>
  <c r="T400" i="1"/>
  <c r="X399" i="1"/>
  <c r="W399" i="1"/>
  <c r="V399" i="1"/>
  <c r="U399" i="1"/>
  <c r="T399" i="1"/>
  <c r="X398" i="1"/>
  <c r="W398" i="1"/>
  <c r="V398" i="1"/>
  <c r="U398" i="1"/>
  <c r="T398" i="1"/>
  <c r="X397" i="1"/>
  <c r="W397" i="1"/>
  <c r="V397" i="1"/>
  <c r="U397" i="1"/>
  <c r="T397" i="1"/>
  <c r="X396" i="1"/>
  <c r="W396" i="1"/>
  <c r="V396" i="1"/>
  <c r="U396" i="1"/>
  <c r="T396" i="1"/>
  <c r="X395" i="1"/>
  <c r="W395" i="1"/>
  <c r="V395" i="1"/>
  <c r="U395" i="1"/>
  <c r="T395" i="1"/>
  <c r="X394" i="1"/>
  <c r="W394" i="1"/>
  <c r="V394" i="1"/>
  <c r="U394" i="1"/>
  <c r="T394" i="1"/>
  <c r="X393" i="1"/>
  <c r="W393" i="1"/>
  <c r="V393" i="1"/>
  <c r="U393" i="1"/>
  <c r="T393" i="1"/>
  <c r="X392" i="1"/>
  <c r="W392" i="1"/>
  <c r="V392" i="1"/>
  <c r="U392" i="1"/>
  <c r="T392" i="1"/>
  <c r="X391" i="1"/>
  <c r="W391" i="1"/>
  <c r="V391" i="1"/>
  <c r="U391" i="1"/>
  <c r="T391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X387" i="1"/>
  <c r="W387" i="1"/>
  <c r="V387" i="1"/>
  <c r="U387" i="1"/>
  <c r="T387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381" i="1"/>
  <c r="W381" i="1"/>
  <c r="V381" i="1"/>
  <c r="U381" i="1"/>
  <c r="T381" i="1"/>
  <c r="X380" i="1"/>
  <c r="W380" i="1"/>
  <c r="V380" i="1"/>
  <c r="U380" i="1"/>
  <c r="T380" i="1"/>
  <c r="X379" i="1"/>
  <c r="W379" i="1"/>
  <c r="V379" i="1"/>
  <c r="U379" i="1"/>
  <c r="T379" i="1"/>
  <c r="X378" i="1"/>
  <c r="W378" i="1"/>
  <c r="V378" i="1"/>
  <c r="U378" i="1"/>
  <c r="T378" i="1"/>
  <c r="X377" i="1"/>
  <c r="W377" i="1"/>
  <c r="V377" i="1"/>
  <c r="U377" i="1"/>
  <c r="T377" i="1"/>
  <c r="X376" i="1"/>
  <c r="W376" i="1"/>
  <c r="V376" i="1"/>
  <c r="U376" i="1"/>
  <c r="T376" i="1"/>
  <c r="X375" i="1"/>
  <c r="W375" i="1"/>
  <c r="V375" i="1"/>
  <c r="U375" i="1"/>
  <c r="T375" i="1"/>
  <c r="X374" i="1"/>
  <c r="W374" i="1"/>
  <c r="V374" i="1"/>
  <c r="U374" i="1"/>
  <c r="T374" i="1"/>
  <c r="X373" i="1"/>
  <c r="W373" i="1"/>
  <c r="V373" i="1"/>
  <c r="U373" i="1"/>
  <c r="T373" i="1"/>
  <c r="X310" i="1"/>
  <c r="W310" i="1"/>
  <c r="V310" i="1"/>
  <c r="U310" i="1"/>
  <c r="T310" i="1"/>
  <c r="X309" i="1"/>
  <c r="W309" i="1"/>
  <c r="V309" i="1"/>
  <c r="U309" i="1"/>
  <c r="T309" i="1"/>
  <c r="X308" i="1"/>
  <c r="W308" i="1"/>
  <c r="V308" i="1"/>
  <c r="U308" i="1"/>
  <c r="T308" i="1"/>
  <c r="X307" i="1"/>
  <c r="W307" i="1"/>
  <c r="V307" i="1"/>
  <c r="U307" i="1"/>
  <c r="T307" i="1"/>
  <c r="X306" i="1"/>
  <c r="W306" i="1"/>
  <c r="V306" i="1"/>
  <c r="U306" i="1"/>
  <c r="T306" i="1"/>
  <c r="X305" i="1"/>
  <c r="W305" i="1"/>
  <c r="V305" i="1"/>
  <c r="U305" i="1"/>
  <c r="T305" i="1"/>
  <c r="X304" i="1"/>
  <c r="W304" i="1"/>
  <c r="V304" i="1"/>
  <c r="U304" i="1"/>
  <c r="T304" i="1"/>
  <c r="X303" i="1"/>
  <c r="W303" i="1"/>
  <c r="V303" i="1"/>
  <c r="U303" i="1"/>
  <c r="T303" i="1"/>
  <c r="X302" i="1"/>
  <c r="W302" i="1"/>
  <c r="V302" i="1"/>
  <c r="U302" i="1"/>
  <c r="T302" i="1"/>
  <c r="X301" i="1"/>
  <c r="W301" i="1"/>
  <c r="V301" i="1"/>
  <c r="U301" i="1"/>
  <c r="T301" i="1"/>
  <c r="X300" i="1"/>
  <c r="W300" i="1"/>
  <c r="V300" i="1"/>
  <c r="U300" i="1"/>
  <c r="T300" i="1"/>
  <c r="X299" i="1"/>
  <c r="W299" i="1"/>
  <c r="V299" i="1"/>
  <c r="U299" i="1"/>
  <c r="T299" i="1"/>
  <c r="X298" i="1"/>
  <c r="W298" i="1"/>
  <c r="V298" i="1"/>
  <c r="U298" i="1"/>
  <c r="T298" i="1"/>
  <c r="X297" i="1"/>
  <c r="W297" i="1"/>
  <c r="V297" i="1"/>
  <c r="U297" i="1"/>
  <c r="T297" i="1"/>
  <c r="X296" i="1"/>
  <c r="W296" i="1"/>
  <c r="V296" i="1"/>
  <c r="U296" i="1"/>
  <c r="T296" i="1"/>
  <c r="X295" i="1"/>
  <c r="W295" i="1"/>
  <c r="V295" i="1"/>
  <c r="U295" i="1"/>
  <c r="T295" i="1"/>
  <c r="X294" i="1"/>
  <c r="W294" i="1"/>
  <c r="V294" i="1"/>
  <c r="U294" i="1"/>
  <c r="T294" i="1"/>
  <c r="X293" i="1"/>
  <c r="W293" i="1"/>
  <c r="V293" i="1"/>
  <c r="U293" i="1"/>
  <c r="T293" i="1"/>
  <c r="X292" i="1"/>
  <c r="W292" i="1"/>
  <c r="V292" i="1"/>
  <c r="U292" i="1"/>
  <c r="T292" i="1"/>
  <c r="X291" i="1"/>
  <c r="W291" i="1"/>
  <c r="V291" i="1"/>
  <c r="U291" i="1"/>
  <c r="T291" i="1"/>
  <c r="X290" i="1"/>
  <c r="W290" i="1"/>
  <c r="V290" i="1"/>
  <c r="U290" i="1"/>
  <c r="T290" i="1"/>
  <c r="X289" i="1"/>
  <c r="W289" i="1"/>
  <c r="V289" i="1"/>
  <c r="U289" i="1"/>
  <c r="T289" i="1"/>
  <c r="X288" i="1"/>
  <c r="W288" i="1"/>
  <c r="V288" i="1"/>
  <c r="U288" i="1"/>
  <c r="T288" i="1"/>
  <c r="X287" i="1"/>
  <c r="W287" i="1"/>
  <c r="V287" i="1"/>
  <c r="U287" i="1"/>
  <c r="T287" i="1"/>
  <c r="X286" i="1"/>
  <c r="W286" i="1"/>
  <c r="V286" i="1"/>
  <c r="U286" i="1"/>
  <c r="T286" i="1"/>
  <c r="X285" i="1"/>
  <c r="W285" i="1"/>
  <c r="V285" i="1"/>
  <c r="U285" i="1"/>
  <c r="T285" i="1"/>
  <c r="X284" i="1"/>
  <c r="W284" i="1"/>
  <c r="V284" i="1"/>
  <c r="U284" i="1"/>
  <c r="T284" i="1"/>
  <c r="X283" i="1"/>
  <c r="W283" i="1"/>
  <c r="V283" i="1"/>
  <c r="U283" i="1"/>
  <c r="T283" i="1"/>
  <c r="X282" i="1"/>
  <c r="W282" i="1"/>
  <c r="V282" i="1"/>
  <c r="U282" i="1"/>
  <c r="T282" i="1"/>
  <c r="X281" i="1"/>
  <c r="W281" i="1"/>
  <c r="V281" i="1"/>
  <c r="U281" i="1"/>
  <c r="T281" i="1"/>
  <c r="X280" i="1"/>
  <c r="W280" i="1"/>
  <c r="V280" i="1"/>
  <c r="U280" i="1"/>
  <c r="T280" i="1"/>
  <c r="X248" i="1"/>
  <c r="W248" i="1"/>
  <c r="V248" i="1"/>
  <c r="U248" i="1"/>
  <c r="T248" i="1"/>
  <c r="X247" i="1"/>
  <c r="W247" i="1"/>
  <c r="V247" i="1"/>
  <c r="U247" i="1"/>
  <c r="T247" i="1"/>
  <c r="X246" i="1"/>
  <c r="W246" i="1"/>
  <c r="V246" i="1"/>
  <c r="U246" i="1"/>
  <c r="T246" i="1"/>
  <c r="X245" i="1"/>
  <c r="W245" i="1"/>
  <c r="V245" i="1"/>
  <c r="U245" i="1"/>
  <c r="T245" i="1"/>
  <c r="X244" i="1"/>
  <c r="W244" i="1"/>
  <c r="V244" i="1"/>
  <c r="U244" i="1"/>
  <c r="T244" i="1"/>
  <c r="X243" i="1"/>
  <c r="W243" i="1"/>
  <c r="V243" i="1"/>
  <c r="U243" i="1"/>
  <c r="T243" i="1"/>
  <c r="X242" i="1"/>
  <c r="W242" i="1"/>
  <c r="V242" i="1"/>
  <c r="U242" i="1"/>
  <c r="T242" i="1"/>
  <c r="X241" i="1"/>
  <c r="W241" i="1"/>
  <c r="V241" i="1"/>
  <c r="U241" i="1"/>
  <c r="T241" i="1"/>
  <c r="X240" i="1"/>
  <c r="W240" i="1"/>
  <c r="V240" i="1"/>
  <c r="U240" i="1"/>
  <c r="T240" i="1"/>
  <c r="X239" i="1"/>
  <c r="W239" i="1"/>
  <c r="V239" i="1"/>
  <c r="U239" i="1"/>
  <c r="T239" i="1"/>
  <c r="X238" i="1"/>
  <c r="W238" i="1"/>
  <c r="V238" i="1"/>
  <c r="U238" i="1"/>
  <c r="T238" i="1"/>
  <c r="X237" i="1"/>
  <c r="W237" i="1"/>
  <c r="V237" i="1"/>
  <c r="U237" i="1"/>
  <c r="T237" i="1"/>
  <c r="X236" i="1"/>
  <c r="W236" i="1"/>
  <c r="V236" i="1"/>
  <c r="U236" i="1"/>
  <c r="T236" i="1"/>
  <c r="X235" i="1"/>
  <c r="W235" i="1"/>
  <c r="V235" i="1"/>
  <c r="U235" i="1"/>
  <c r="T235" i="1"/>
  <c r="X234" i="1"/>
  <c r="W234" i="1"/>
  <c r="V234" i="1"/>
  <c r="U234" i="1"/>
  <c r="T234" i="1"/>
  <c r="X233" i="1"/>
  <c r="W233" i="1"/>
  <c r="V233" i="1"/>
  <c r="U233" i="1"/>
  <c r="T233" i="1"/>
  <c r="X232" i="1"/>
  <c r="W232" i="1"/>
  <c r="V232" i="1"/>
  <c r="U232" i="1"/>
  <c r="T232" i="1"/>
  <c r="X231" i="1"/>
  <c r="W231" i="1"/>
  <c r="V231" i="1"/>
  <c r="U231" i="1"/>
  <c r="T231" i="1"/>
  <c r="X230" i="1"/>
  <c r="W230" i="1"/>
  <c r="V230" i="1"/>
  <c r="U230" i="1"/>
  <c r="T230" i="1"/>
  <c r="X229" i="1"/>
  <c r="W229" i="1"/>
  <c r="V229" i="1"/>
  <c r="U229" i="1"/>
  <c r="T229" i="1"/>
  <c r="X228" i="1"/>
  <c r="W228" i="1"/>
  <c r="V228" i="1"/>
  <c r="U228" i="1"/>
  <c r="T228" i="1"/>
  <c r="X227" i="1"/>
  <c r="W227" i="1"/>
  <c r="V227" i="1"/>
  <c r="U227" i="1"/>
  <c r="T227" i="1"/>
  <c r="X226" i="1"/>
  <c r="W226" i="1"/>
  <c r="V226" i="1"/>
  <c r="U226" i="1"/>
  <c r="T226" i="1"/>
  <c r="X225" i="1"/>
  <c r="W225" i="1"/>
  <c r="V225" i="1"/>
  <c r="U225" i="1"/>
  <c r="T225" i="1"/>
  <c r="X224" i="1"/>
  <c r="W224" i="1"/>
  <c r="V224" i="1"/>
  <c r="U224" i="1"/>
  <c r="T224" i="1"/>
  <c r="X223" i="1"/>
  <c r="W223" i="1"/>
  <c r="V223" i="1"/>
  <c r="U223" i="1"/>
  <c r="T223" i="1"/>
  <c r="X222" i="1"/>
  <c r="W222" i="1"/>
  <c r="V222" i="1"/>
  <c r="U222" i="1"/>
  <c r="T222" i="1"/>
  <c r="X221" i="1"/>
  <c r="W221" i="1"/>
  <c r="V221" i="1"/>
  <c r="U221" i="1"/>
  <c r="T221" i="1"/>
  <c r="X220" i="1"/>
  <c r="W220" i="1"/>
  <c r="V220" i="1"/>
  <c r="U220" i="1"/>
  <c r="T220" i="1"/>
  <c r="X219" i="1"/>
  <c r="W219" i="1"/>
  <c r="V219" i="1"/>
  <c r="U219" i="1"/>
  <c r="T219" i="1"/>
  <c r="X218" i="1"/>
  <c r="W218" i="1"/>
  <c r="V218" i="1"/>
  <c r="U218" i="1"/>
  <c r="T218" i="1"/>
  <c r="X217" i="1"/>
  <c r="W217" i="1"/>
  <c r="V217" i="1"/>
  <c r="U217" i="1"/>
  <c r="T217" i="1"/>
  <c r="X216" i="1"/>
  <c r="W216" i="1"/>
  <c r="V216" i="1"/>
  <c r="U216" i="1"/>
  <c r="T216" i="1"/>
  <c r="X215" i="1"/>
  <c r="W215" i="1"/>
  <c r="V215" i="1"/>
  <c r="U215" i="1"/>
  <c r="T215" i="1"/>
  <c r="X214" i="1"/>
  <c r="W214" i="1"/>
  <c r="V214" i="1"/>
  <c r="U214" i="1"/>
  <c r="T214" i="1"/>
  <c r="X213" i="1"/>
  <c r="W213" i="1"/>
  <c r="V213" i="1"/>
  <c r="U213" i="1"/>
  <c r="T213" i="1"/>
  <c r="X212" i="1"/>
  <c r="W212" i="1"/>
  <c r="V212" i="1"/>
  <c r="U212" i="1"/>
  <c r="T212" i="1"/>
  <c r="X211" i="1"/>
  <c r="W211" i="1"/>
  <c r="V211" i="1"/>
  <c r="U211" i="1"/>
  <c r="T211" i="1"/>
  <c r="X210" i="1"/>
  <c r="W210" i="1"/>
  <c r="V210" i="1"/>
  <c r="U210" i="1"/>
  <c r="T210" i="1"/>
  <c r="X209" i="1"/>
  <c r="W209" i="1"/>
  <c r="V209" i="1"/>
  <c r="U209" i="1"/>
  <c r="T209" i="1"/>
  <c r="X208" i="1"/>
  <c r="W208" i="1"/>
  <c r="V208" i="1"/>
  <c r="U208" i="1"/>
  <c r="T208" i="1"/>
  <c r="X207" i="1"/>
  <c r="W207" i="1"/>
  <c r="V207" i="1"/>
  <c r="U207" i="1"/>
  <c r="T207" i="1"/>
  <c r="X206" i="1"/>
  <c r="W206" i="1"/>
  <c r="V206" i="1"/>
  <c r="U206" i="1"/>
  <c r="T206" i="1"/>
  <c r="X205" i="1"/>
  <c r="W205" i="1"/>
  <c r="V205" i="1"/>
  <c r="U205" i="1"/>
  <c r="T205" i="1"/>
  <c r="X204" i="1"/>
  <c r="W204" i="1"/>
  <c r="V204" i="1"/>
  <c r="U204" i="1"/>
  <c r="T204" i="1"/>
  <c r="X203" i="1"/>
  <c r="W203" i="1"/>
  <c r="V203" i="1"/>
  <c r="U203" i="1"/>
  <c r="T203" i="1"/>
  <c r="X202" i="1"/>
  <c r="W202" i="1"/>
  <c r="V202" i="1"/>
  <c r="U202" i="1"/>
  <c r="T202" i="1"/>
  <c r="X201" i="1"/>
  <c r="W201" i="1"/>
  <c r="V201" i="1"/>
  <c r="U201" i="1"/>
  <c r="T201" i="1"/>
  <c r="X200" i="1"/>
  <c r="W200" i="1"/>
  <c r="V200" i="1"/>
  <c r="U200" i="1"/>
  <c r="T200" i="1"/>
  <c r="X199" i="1"/>
  <c r="W199" i="1"/>
  <c r="V199" i="1"/>
  <c r="U199" i="1"/>
  <c r="T199" i="1"/>
  <c r="X198" i="1"/>
  <c r="W198" i="1"/>
  <c r="V198" i="1"/>
  <c r="U198" i="1"/>
  <c r="T198" i="1"/>
  <c r="X197" i="1"/>
  <c r="W197" i="1"/>
  <c r="V197" i="1"/>
  <c r="U197" i="1"/>
  <c r="T197" i="1"/>
  <c r="X196" i="1"/>
  <c r="W196" i="1"/>
  <c r="V196" i="1"/>
  <c r="U196" i="1"/>
  <c r="T196" i="1"/>
  <c r="X195" i="1"/>
  <c r="W195" i="1"/>
  <c r="V195" i="1"/>
  <c r="U195" i="1"/>
  <c r="T195" i="1"/>
  <c r="X194" i="1"/>
  <c r="W194" i="1"/>
  <c r="V194" i="1"/>
  <c r="U194" i="1"/>
  <c r="T194" i="1"/>
  <c r="X193" i="1"/>
  <c r="W193" i="1"/>
  <c r="V193" i="1"/>
  <c r="U193" i="1"/>
  <c r="T193" i="1"/>
  <c r="X192" i="1"/>
  <c r="W192" i="1"/>
  <c r="V192" i="1"/>
  <c r="U192" i="1"/>
  <c r="T192" i="1"/>
  <c r="X191" i="1"/>
  <c r="W191" i="1"/>
  <c r="V191" i="1"/>
  <c r="U191" i="1"/>
  <c r="T191" i="1"/>
  <c r="X190" i="1"/>
  <c r="W190" i="1"/>
  <c r="V190" i="1"/>
  <c r="U190" i="1"/>
  <c r="T190" i="1"/>
  <c r="X189" i="1"/>
  <c r="W189" i="1"/>
  <c r="V189" i="1"/>
  <c r="U189" i="1"/>
  <c r="T189" i="1"/>
  <c r="X188" i="1"/>
  <c r="W188" i="1"/>
  <c r="V188" i="1"/>
  <c r="U188" i="1"/>
  <c r="T188" i="1"/>
  <c r="X94" i="1"/>
  <c r="W94" i="1"/>
  <c r="V94" i="1"/>
  <c r="U94" i="1"/>
  <c r="T94" i="1"/>
  <c r="X93" i="1"/>
  <c r="W93" i="1"/>
  <c r="V93" i="1"/>
  <c r="U93" i="1"/>
  <c r="T93" i="1"/>
  <c r="X92" i="1"/>
  <c r="W92" i="1"/>
  <c r="V92" i="1"/>
  <c r="U92" i="1"/>
  <c r="T92" i="1"/>
  <c r="X91" i="1"/>
  <c r="W91" i="1"/>
  <c r="V91" i="1"/>
  <c r="U91" i="1"/>
  <c r="T91" i="1"/>
  <c r="X90" i="1"/>
  <c r="W90" i="1"/>
  <c r="V90" i="1"/>
  <c r="U90" i="1"/>
  <c r="T90" i="1"/>
  <c r="X89" i="1"/>
  <c r="W89" i="1"/>
  <c r="V89" i="1"/>
  <c r="U89" i="1"/>
  <c r="T89" i="1"/>
  <c r="X88" i="1"/>
  <c r="W88" i="1"/>
  <c r="V88" i="1"/>
  <c r="U88" i="1"/>
  <c r="T88" i="1"/>
  <c r="X87" i="1"/>
  <c r="W87" i="1"/>
  <c r="V87" i="1"/>
  <c r="U87" i="1"/>
  <c r="T87" i="1"/>
  <c r="X86" i="1"/>
  <c r="W86" i="1"/>
  <c r="V86" i="1"/>
  <c r="U86" i="1"/>
  <c r="T86" i="1"/>
  <c r="X85" i="1"/>
  <c r="W85" i="1"/>
  <c r="V85" i="1"/>
  <c r="U85" i="1"/>
  <c r="T85" i="1"/>
  <c r="X84" i="1"/>
  <c r="W84" i="1"/>
  <c r="V84" i="1"/>
  <c r="U84" i="1"/>
  <c r="T84" i="1"/>
  <c r="X83" i="1"/>
  <c r="W83" i="1"/>
  <c r="V83" i="1"/>
  <c r="U83" i="1"/>
  <c r="T83" i="1"/>
  <c r="X82" i="1"/>
  <c r="W82" i="1"/>
  <c r="V82" i="1"/>
  <c r="U82" i="1"/>
  <c r="T82" i="1"/>
  <c r="X81" i="1"/>
  <c r="W81" i="1"/>
  <c r="V81" i="1"/>
  <c r="U81" i="1"/>
  <c r="T81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X77" i="1"/>
  <c r="W77" i="1"/>
  <c r="V77" i="1"/>
  <c r="U77" i="1"/>
  <c r="T77" i="1"/>
  <c r="X76" i="1"/>
  <c r="W76" i="1"/>
  <c r="V76" i="1"/>
  <c r="U76" i="1"/>
  <c r="T76" i="1"/>
  <c r="X75" i="1"/>
  <c r="W75" i="1"/>
  <c r="V75" i="1"/>
  <c r="U75" i="1"/>
  <c r="T75" i="1"/>
  <c r="X74" i="1"/>
  <c r="W74" i="1"/>
  <c r="V74" i="1"/>
  <c r="U74" i="1"/>
  <c r="T74" i="1"/>
  <c r="X73" i="1"/>
  <c r="W73" i="1"/>
  <c r="V73" i="1"/>
  <c r="U73" i="1"/>
  <c r="T73" i="1"/>
  <c r="X72" i="1"/>
  <c r="W72" i="1"/>
  <c r="V72" i="1"/>
  <c r="U72" i="1"/>
  <c r="T72" i="1"/>
  <c r="X71" i="1"/>
  <c r="W71" i="1"/>
  <c r="V71" i="1"/>
  <c r="U71" i="1"/>
  <c r="T71" i="1"/>
  <c r="X70" i="1"/>
  <c r="W70" i="1"/>
  <c r="V70" i="1"/>
  <c r="U70" i="1"/>
  <c r="T70" i="1"/>
  <c r="X69" i="1"/>
  <c r="W69" i="1"/>
  <c r="V69" i="1"/>
  <c r="U69" i="1"/>
  <c r="T69" i="1"/>
  <c r="X68" i="1"/>
  <c r="W68" i="1"/>
  <c r="V68" i="1"/>
  <c r="U68" i="1"/>
  <c r="T68" i="1"/>
  <c r="X67" i="1"/>
  <c r="W67" i="1"/>
  <c r="V67" i="1"/>
  <c r="U67" i="1"/>
  <c r="T67" i="1"/>
  <c r="X66" i="1"/>
  <c r="W66" i="1"/>
  <c r="V66" i="1"/>
  <c r="U66" i="1"/>
  <c r="T66" i="1"/>
  <c r="X65" i="1"/>
  <c r="W65" i="1"/>
  <c r="V65" i="1"/>
  <c r="U65" i="1"/>
  <c r="T65" i="1"/>
  <c r="X64" i="1"/>
  <c r="W64" i="1"/>
  <c r="V64" i="1"/>
  <c r="U64" i="1"/>
  <c r="T64" i="1"/>
  <c r="X472" i="1"/>
  <c r="W472" i="1"/>
  <c r="V472" i="1"/>
  <c r="U472" i="1"/>
  <c r="T472" i="1"/>
  <c r="X471" i="1"/>
  <c r="W471" i="1"/>
  <c r="V471" i="1"/>
  <c r="U471" i="1"/>
  <c r="T471" i="1"/>
  <c r="X470" i="1"/>
  <c r="W470" i="1"/>
  <c r="V470" i="1"/>
  <c r="U470" i="1"/>
  <c r="T470" i="1"/>
  <c r="X469" i="1"/>
  <c r="W469" i="1"/>
  <c r="V469" i="1"/>
  <c r="U469" i="1"/>
  <c r="T469" i="1"/>
  <c r="X468" i="1"/>
  <c r="W468" i="1"/>
  <c r="V468" i="1"/>
  <c r="U468" i="1"/>
  <c r="T468" i="1"/>
  <c r="X467" i="1"/>
  <c r="W467" i="1"/>
  <c r="V467" i="1"/>
  <c r="U467" i="1"/>
  <c r="T467" i="1"/>
  <c r="X466" i="1"/>
  <c r="W466" i="1"/>
  <c r="V466" i="1"/>
  <c r="U466" i="1"/>
  <c r="T466" i="1"/>
  <c r="X465" i="1"/>
  <c r="W465" i="1"/>
  <c r="V465" i="1"/>
  <c r="U465" i="1"/>
  <c r="T465" i="1"/>
  <c r="X464" i="1"/>
  <c r="W464" i="1"/>
  <c r="V464" i="1"/>
  <c r="U464" i="1"/>
  <c r="T464" i="1"/>
  <c r="X463" i="1"/>
  <c r="W463" i="1"/>
  <c r="V463" i="1"/>
  <c r="U463" i="1"/>
  <c r="T463" i="1"/>
  <c r="X462" i="1"/>
  <c r="W462" i="1"/>
  <c r="V462" i="1"/>
  <c r="U462" i="1"/>
  <c r="T462" i="1"/>
  <c r="X461" i="1"/>
  <c r="W461" i="1"/>
  <c r="V461" i="1"/>
  <c r="U461" i="1"/>
  <c r="T461" i="1"/>
  <c r="X460" i="1"/>
  <c r="W460" i="1"/>
  <c r="V460" i="1"/>
  <c r="U460" i="1"/>
  <c r="T460" i="1"/>
  <c r="X459" i="1"/>
  <c r="W459" i="1"/>
  <c r="V459" i="1"/>
  <c r="U459" i="1"/>
  <c r="T459" i="1"/>
  <c r="X458" i="1"/>
  <c r="W458" i="1"/>
  <c r="V458" i="1"/>
  <c r="U458" i="1"/>
  <c r="T458" i="1"/>
  <c r="X457" i="1"/>
  <c r="W457" i="1"/>
  <c r="V457" i="1"/>
  <c r="U457" i="1"/>
  <c r="T457" i="1"/>
  <c r="X456" i="1"/>
  <c r="W456" i="1"/>
  <c r="V456" i="1"/>
  <c r="U456" i="1"/>
  <c r="T456" i="1"/>
  <c r="X455" i="1"/>
  <c r="W455" i="1"/>
  <c r="V455" i="1"/>
  <c r="U455" i="1"/>
  <c r="T455" i="1"/>
  <c r="X454" i="1"/>
  <c r="W454" i="1"/>
  <c r="V454" i="1"/>
  <c r="U454" i="1"/>
  <c r="T454" i="1"/>
  <c r="X453" i="1"/>
  <c r="W453" i="1"/>
  <c r="V453" i="1"/>
  <c r="U453" i="1"/>
  <c r="T453" i="1"/>
  <c r="X452" i="1"/>
  <c r="W452" i="1"/>
  <c r="V452" i="1"/>
  <c r="U452" i="1"/>
  <c r="T452" i="1"/>
  <c r="X451" i="1"/>
  <c r="W451" i="1"/>
  <c r="V451" i="1"/>
  <c r="U451" i="1"/>
  <c r="T451" i="1"/>
  <c r="X450" i="1"/>
  <c r="W450" i="1"/>
  <c r="V450" i="1"/>
  <c r="U450" i="1"/>
  <c r="T450" i="1"/>
  <c r="X449" i="1"/>
  <c r="W449" i="1"/>
  <c r="V449" i="1"/>
  <c r="U449" i="1"/>
  <c r="T449" i="1"/>
  <c r="X448" i="1"/>
  <c r="W448" i="1"/>
  <c r="V448" i="1"/>
  <c r="U448" i="1"/>
  <c r="T448" i="1"/>
  <c r="X447" i="1"/>
  <c r="W447" i="1"/>
  <c r="V447" i="1"/>
  <c r="U447" i="1"/>
  <c r="T447" i="1"/>
  <c r="X446" i="1"/>
  <c r="W446" i="1"/>
  <c r="V446" i="1"/>
  <c r="U446" i="1"/>
  <c r="T446" i="1"/>
  <c r="X445" i="1"/>
  <c r="W445" i="1"/>
  <c r="V445" i="1"/>
  <c r="U445" i="1"/>
  <c r="T445" i="1"/>
  <c r="X444" i="1"/>
  <c r="W444" i="1"/>
  <c r="V444" i="1"/>
  <c r="U444" i="1"/>
  <c r="T444" i="1"/>
  <c r="X443" i="1"/>
  <c r="W443" i="1"/>
  <c r="V443" i="1"/>
  <c r="U443" i="1"/>
  <c r="T443" i="1"/>
  <c r="X442" i="1"/>
  <c r="W442" i="1"/>
  <c r="V442" i="1"/>
  <c r="U442" i="1"/>
  <c r="T442" i="1"/>
  <c r="X441" i="1"/>
  <c r="W441" i="1"/>
  <c r="V441" i="1"/>
  <c r="U441" i="1"/>
  <c r="T441" i="1"/>
  <c r="X440" i="1"/>
  <c r="W440" i="1"/>
  <c r="V440" i="1"/>
  <c r="U440" i="1"/>
  <c r="T440" i="1"/>
  <c r="X439" i="1"/>
  <c r="W439" i="1"/>
  <c r="V439" i="1"/>
  <c r="U439" i="1"/>
  <c r="T439" i="1"/>
  <c r="X438" i="1"/>
  <c r="W438" i="1"/>
  <c r="V438" i="1"/>
  <c r="U438" i="1"/>
  <c r="T438" i="1"/>
  <c r="X437" i="1"/>
  <c r="W437" i="1"/>
  <c r="V437" i="1"/>
  <c r="U437" i="1"/>
  <c r="T437" i="1"/>
  <c r="X436" i="1"/>
  <c r="W436" i="1"/>
  <c r="V436" i="1"/>
  <c r="U436" i="1"/>
  <c r="T436" i="1"/>
  <c r="X435" i="1"/>
  <c r="W435" i="1"/>
  <c r="V435" i="1"/>
  <c r="U435" i="1"/>
  <c r="T435" i="1"/>
  <c r="X372" i="1"/>
  <c r="W372" i="1"/>
  <c r="V372" i="1"/>
  <c r="U372" i="1"/>
  <c r="T372" i="1"/>
  <c r="X371" i="1"/>
  <c r="W371" i="1"/>
  <c r="V371" i="1"/>
  <c r="U371" i="1"/>
  <c r="T371" i="1"/>
  <c r="X370" i="1"/>
  <c r="W370" i="1"/>
  <c r="V370" i="1"/>
  <c r="U370" i="1"/>
  <c r="T370" i="1"/>
  <c r="X369" i="1"/>
  <c r="W369" i="1"/>
  <c r="V369" i="1"/>
  <c r="U369" i="1"/>
  <c r="T369" i="1"/>
  <c r="X368" i="1"/>
  <c r="W368" i="1"/>
  <c r="V368" i="1"/>
  <c r="U368" i="1"/>
  <c r="T368" i="1"/>
  <c r="X367" i="1"/>
  <c r="W367" i="1"/>
  <c r="V367" i="1"/>
  <c r="U367" i="1"/>
  <c r="T367" i="1"/>
  <c r="X366" i="1"/>
  <c r="W366" i="1"/>
  <c r="V366" i="1"/>
  <c r="U366" i="1"/>
  <c r="T366" i="1"/>
  <c r="X365" i="1"/>
  <c r="W365" i="1"/>
  <c r="V365" i="1"/>
  <c r="U365" i="1"/>
  <c r="T365" i="1"/>
  <c r="X364" i="1"/>
  <c r="W364" i="1"/>
  <c r="V364" i="1"/>
  <c r="U364" i="1"/>
  <c r="T364" i="1"/>
  <c r="X363" i="1"/>
  <c r="W363" i="1"/>
  <c r="V363" i="1"/>
  <c r="U363" i="1"/>
  <c r="T363" i="1"/>
  <c r="X362" i="1"/>
  <c r="W362" i="1"/>
  <c r="V362" i="1"/>
  <c r="U362" i="1"/>
  <c r="T362" i="1"/>
  <c r="X361" i="1"/>
  <c r="W361" i="1"/>
  <c r="V361" i="1"/>
  <c r="U361" i="1"/>
  <c r="T361" i="1"/>
  <c r="X360" i="1"/>
  <c r="W360" i="1"/>
  <c r="V360" i="1"/>
  <c r="U360" i="1"/>
  <c r="T360" i="1"/>
  <c r="X359" i="1"/>
  <c r="W359" i="1"/>
  <c r="V359" i="1"/>
  <c r="U359" i="1"/>
  <c r="T359" i="1"/>
  <c r="X358" i="1"/>
  <c r="W358" i="1"/>
  <c r="V358" i="1"/>
  <c r="U358" i="1"/>
  <c r="T358" i="1"/>
  <c r="X357" i="1"/>
  <c r="W357" i="1"/>
  <c r="V357" i="1"/>
  <c r="U357" i="1"/>
  <c r="T357" i="1"/>
  <c r="X356" i="1"/>
  <c r="W356" i="1"/>
  <c r="V356" i="1"/>
  <c r="U356" i="1"/>
  <c r="T356" i="1"/>
  <c r="X355" i="1"/>
  <c r="W355" i="1"/>
  <c r="V355" i="1"/>
  <c r="U355" i="1"/>
  <c r="T355" i="1"/>
  <c r="X354" i="1"/>
  <c r="W354" i="1"/>
  <c r="V354" i="1"/>
  <c r="U354" i="1"/>
  <c r="T354" i="1"/>
  <c r="X353" i="1"/>
  <c r="W353" i="1"/>
  <c r="V353" i="1"/>
  <c r="U353" i="1"/>
  <c r="T353" i="1"/>
  <c r="X352" i="1"/>
  <c r="W352" i="1"/>
  <c r="V352" i="1"/>
  <c r="U352" i="1"/>
  <c r="T352" i="1"/>
  <c r="X351" i="1"/>
  <c r="W351" i="1"/>
  <c r="V351" i="1"/>
  <c r="U351" i="1"/>
  <c r="T351" i="1"/>
  <c r="X350" i="1"/>
  <c r="W350" i="1"/>
  <c r="V350" i="1"/>
  <c r="U350" i="1"/>
  <c r="T350" i="1"/>
  <c r="X349" i="1"/>
  <c r="W349" i="1"/>
  <c r="V349" i="1"/>
  <c r="U349" i="1"/>
  <c r="T349" i="1"/>
  <c r="X348" i="1"/>
  <c r="W348" i="1"/>
  <c r="V348" i="1"/>
  <c r="U348" i="1"/>
  <c r="T348" i="1"/>
  <c r="X347" i="1"/>
  <c r="W347" i="1"/>
  <c r="V347" i="1"/>
  <c r="U347" i="1"/>
  <c r="T347" i="1"/>
  <c r="X346" i="1"/>
  <c r="W346" i="1"/>
  <c r="V346" i="1"/>
  <c r="U346" i="1"/>
  <c r="T346" i="1"/>
  <c r="X345" i="1"/>
  <c r="W345" i="1"/>
  <c r="V345" i="1"/>
  <c r="U345" i="1"/>
  <c r="T345" i="1"/>
  <c r="X344" i="1"/>
  <c r="W344" i="1"/>
  <c r="V344" i="1"/>
  <c r="U344" i="1"/>
  <c r="T344" i="1"/>
  <c r="X343" i="1"/>
  <c r="W343" i="1"/>
  <c r="V343" i="1"/>
  <c r="U343" i="1"/>
  <c r="T343" i="1"/>
  <c r="X342" i="1"/>
  <c r="W342" i="1"/>
  <c r="V342" i="1"/>
  <c r="U342" i="1"/>
  <c r="T342" i="1"/>
  <c r="X341" i="1"/>
  <c r="W341" i="1"/>
  <c r="V341" i="1"/>
  <c r="U341" i="1"/>
  <c r="T341" i="1"/>
  <c r="X340" i="1"/>
  <c r="W340" i="1"/>
  <c r="V340" i="1"/>
  <c r="U340" i="1"/>
  <c r="T340" i="1"/>
  <c r="X339" i="1"/>
  <c r="W339" i="1"/>
  <c r="V339" i="1"/>
  <c r="U339" i="1"/>
  <c r="T339" i="1"/>
  <c r="X338" i="1"/>
  <c r="W338" i="1"/>
  <c r="V338" i="1"/>
  <c r="U338" i="1"/>
  <c r="T338" i="1"/>
  <c r="X337" i="1"/>
  <c r="W337" i="1"/>
  <c r="V337" i="1"/>
  <c r="U337" i="1"/>
  <c r="T337" i="1"/>
  <c r="X336" i="1"/>
  <c r="W336" i="1"/>
  <c r="V336" i="1"/>
  <c r="U336" i="1"/>
  <c r="T336" i="1"/>
  <c r="X335" i="1"/>
  <c r="W335" i="1"/>
  <c r="V335" i="1"/>
  <c r="U335" i="1"/>
  <c r="T335" i="1"/>
  <c r="X334" i="1"/>
  <c r="W334" i="1"/>
  <c r="V334" i="1"/>
  <c r="U334" i="1"/>
  <c r="T334" i="1"/>
  <c r="X333" i="1"/>
  <c r="W333" i="1"/>
  <c r="V333" i="1"/>
  <c r="U333" i="1"/>
  <c r="T333" i="1"/>
  <c r="X332" i="1"/>
  <c r="W332" i="1"/>
  <c r="V332" i="1"/>
  <c r="U332" i="1"/>
  <c r="T332" i="1"/>
  <c r="X331" i="1"/>
  <c r="W331" i="1"/>
  <c r="V331" i="1"/>
  <c r="U331" i="1"/>
  <c r="T331" i="1"/>
  <c r="X330" i="1"/>
  <c r="W330" i="1"/>
  <c r="V330" i="1"/>
  <c r="U330" i="1"/>
  <c r="T330" i="1"/>
  <c r="X329" i="1"/>
  <c r="W329" i="1"/>
  <c r="V329" i="1"/>
  <c r="U329" i="1"/>
  <c r="T329" i="1"/>
  <c r="X328" i="1"/>
  <c r="W328" i="1"/>
  <c r="V328" i="1"/>
  <c r="U328" i="1"/>
  <c r="T328" i="1"/>
  <c r="X327" i="1"/>
  <c r="W327" i="1"/>
  <c r="V327" i="1"/>
  <c r="U327" i="1"/>
  <c r="T327" i="1"/>
  <c r="X326" i="1"/>
  <c r="W326" i="1"/>
  <c r="V326" i="1"/>
  <c r="U326" i="1"/>
  <c r="T326" i="1"/>
  <c r="X325" i="1"/>
  <c r="W325" i="1"/>
  <c r="V325" i="1"/>
  <c r="U325" i="1"/>
  <c r="T325" i="1"/>
  <c r="X324" i="1"/>
  <c r="W324" i="1"/>
  <c r="V324" i="1"/>
  <c r="U324" i="1"/>
  <c r="T324" i="1"/>
  <c r="X323" i="1"/>
  <c r="W323" i="1"/>
  <c r="V323" i="1"/>
  <c r="U323" i="1"/>
  <c r="T323" i="1"/>
  <c r="X322" i="1"/>
  <c r="W322" i="1"/>
  <c r="V322" i="1"/>
  <c r="U322" i="1"/>
  <c r="T322" i="1"/>
  <c r="X321" i="1"/>
  <c r="W321" i="1"/>
  <c r="V321" i="1"/>
  <c r="U321" i="1"/>
  <c r="T321" i="1"/>
  <c r="X320" i="1"/>
  <c r="W320" i="1"/>
  <c r="V320" i="1"/>
  <c r="U320" i="1"/>
  <c r="T320" i="1"/>
  <c r="X319" i="1"/>
  <c r="W319" i="1"/>
  <c r="V319" i="1"/>
  <c r="U319" i="1"/>
  <c r="T319" i="1"/>
  <c r="X318" i="1"/>
  <c r="W318" i="1"/>
  <c r="V318" i="1"/>
  <c r="U318" i="1"/>
  <c r="T318" i="1"/>
  <c r="X317" i="1"/>
  <c r="W317" i="1"/>
  <c r="V317" i="1"/>
  <c r="U317" i="1"/>
  <c r="T317" i="1"/>
  <c r="X316" i="1"/>
  <c r="W316" i="1"/>
  <c r="V316" i="1"/>
  <c r="U316" i="1"/>
  <c r="T316" i="1"/>
  <c r="X315" i="1"/>
  <c r="W315" i="1"/>
  <c r="V315" i="1"/>
  <c r="U315" i="1"/>
  <c r="T315" i="1"/>
  <c r="X314" i="1"/>
  <c r="W314" i="1"/>
  <c r="V314" i="1"/>
  <c r="U314" i="1"/>
  <c r="T314" i="1"/>
  <c r="X313" i="1"/>
  <c r="W313" i="1"/>
  <c r="V313" i="1"/>
  <c r="U313" i="1"/>
  <c r="T313" i="1"/>
  <c r="X312" i="1"/>
  <c r="W312" i="1"/>
  <c r="V312" i="1"/>
  <c r="U312" i="1"/>
  <c r="T312" i="1"/>
  <c r="X311" i="1"/>
  <c r="W311" i="1"/>
  <c r="V311" i="1"/>
  <c r="U311" i="1"/>
  <c r="T311" i="1"/>
  <c r="X155" i="1"/>
  <c r="W155" i="1"/>
  <c r="V155" i="1"/>
  <c r="U155" i="1"/>
  <c r="T155" i="1"/>
  <c r="X154" i="1"/>
  <c r="W154" i="1"/>
  <c r="V154" i="1"/>
  <c r="U154" i="1"/>
  <c r="T154" i="1"/>
  <c r="X153" i="1"/>
  <c r="W153" i="1"/>
  <c r="V153" i="1"/>
  <c r="U153" i="1"/>
  <c r="T153" i="1"/>
  <c r="X152" i="1"/>
  <c r="W152" i="1"/>
  <c r="V152" i="1"/>
  <c r="U152" i="1"/>
  <c r="T152" i="1"/>
  <c r="X151" i="1"/>
  <c r="W151" i="1"/>
  <c r="V151" i="1"/>
  <c r="U151" i="1"/>
  <c r="T151" i="1"/>
  <c r="X150" i="1"/>
  <c r="W150" i="1"/>
  <c r="V150" i="1"/>
  <c r="U150" i="1"/>
  <c r="T150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V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41" i="1"/>
  <c r="W141" i="1"/>
  <c r="V141" i="1"/>
  <c r="U141" i="1"/>
  <c r="T141" i="1"/>
  <c r="X140" i="1"/>
  <c r="W140" i="1"/>
  <c r="V140" i="1"/>
  <c r="U140" i="1"/>
  <c r="T140" i="1"/>
  <c r="X139" i="1"/>
  <c r="W139" i="1"/>
  <c r="V139" i="1"/>
  <c r="U139" i="1"/>
  <c r="T139" i="1"/>
  <c r="X138" i="1"/>
  <c r="W138" i="1"/>
  <c r="V138" i="1"/>
  <c r="U138" i="1"/>
  <c r="T138" i="1"/>
  <c r="X137" i="1"/>
  <c r="W137" i="1"/>
  <c r="V137" i="1"/>
  <c r="U137" i="1"/>
  <c r="T137" i="1"/>
  <c r="X136" i="1"/>
  <c r="W136" i="1"/>
  <c r="V136" i="1"/>
  <c r="U136" i="1"/>
  <c r="T136" i="1"/>
  <c r="X135" i="1"/>
  <c r="W135" i="1"/>
  <c r="V135" i="1"/>
  <c r="U135" i="1"/>
  <c r="T135" i="1"/>
  <c r="X134" i="1"/>
  <c r="W134" i="1"/>
  <c r="V134" i="1"/>
  <c r="U134" i="1"/>
  <c r="T134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X129" i="1"/>
  <c r="W129" i="1"/>
  <c r="V129" i="1"/>
  <c r="U129" i="1"/>
  <c r="T129" i="1"/>
  <c r="X128" i="1"/>
  <c r="W128" i="1"/>
  <c r="V128" i="1"/>
  <c r="U128" i="1"/>
  <c r="T128" i="1"/>
  <c r="X127" i="1"/>
  <c r="W127" i="1"/>
  <c r="V127" i="1"/>
  <c r="U127" i="1"/>
  <c r="T127" i="1"/>
  <c r="X126" i="1"/>
  <c r="W126" i="1"/>
  <c r="V126" i="1"/>
  <c r="U126" i="1"/>
  <c r="T126" i="1"/>
  <c r="X125" i="1"/>
  <c r="W125" i="1"/>
  <c r="V125" i="1"/>
  <c r="U125" i="1"/>
  <c r="T125" i="1"/>
  <c r="X124" i="1"/>
  <c r="W124" i="1"/>
  <c r="V124" i="1"/>
  <c r="U124" i="1"/>
  <c r="T124" i="1"/>
  <c r="X123" i="1"/>
  <c r="W123" i="1"/>
  <c r="V123" i="1"/>
  <c r="U123" i="1"/>
  <c r="T123" i="1"/>
  <c r="X122" i="1"/>
  <c r="W122" i="1"/>
  <c r="V122" i="1"/>
  <c r="U122" i="1"/>
  <c r="T122" i="1"/>
  <c r="X121" i="1"/>
  <c r="W121" i="1"/>
  <c r="V121" i="1"/>
  <c r="U121" i="1"/>
  <c r="T121" i="1"/>
  <c r="X120" i="1"/>
  <c r="W120" i="1"/>
  <c r="V120" i="1"/>
  <c r="U120" i="1"/>
  <c r="T120" i="1"/>
  <c r="X119" i="1"/>
  <c r="W119" i="1"/>
  <c r="V119" i="1"/>
  <c r="U119" i="1"/>
  <c r="T119" i="1"/>
  <c r="X118" i="1"/>
  <c r="W118" i="1"/>
  <c r="V118" i="1"/>
  <c r="U118" i="1"/>
  <c r="T118" i="1"/>
  <c r="X117" i="1"/>
  <c r="W117" i="1"/>
  <c r="V117" i="1"/>
  <c r="U117" i="1"/>
  <c r="T117" i="1"/>
  <c r="X116" i="1"/>
  <c r="W116" i="1"/>
  <c r="V116" i="1"/>
  <c r="U116" i="1"/>
  <c r="T116" i="1"/>
  <c r="X115" i="1"/>
  <c r="W115" i="1"/>
  <c r="V115" i="1"/>
  <c r="U115" i="1"/>
  <c r="T115" i="1"/>
  <c r="X114" i="1"/>
  <c r="W114" i="1"/>
  <c r="V114" i="1"/>
  <c r="U114" i="1"/>
  <c r="T114" i="1"/>
  <c r="X113" i="1"/>
  <c r="W113" i="1"/>
  <c r="V113" i="1"/>
  <c r="U113" i="1"/>
  <c r="T113" i="1"/>
  <c r="X112" i="1"/>
  <c r="W112" i="1"/>
  <c r="V112" i="1"/>
  <c r="U112" i="1"/>
  <c r="T112" i="1"/>
  <c r="X111" i="1"/>
  <c r="W111" i="1"/>
  <c r="V111" i="1"/>
  <c r="U111" i="1"/>
  <c r="T111" i="1"/>
  <c r="X110" i="1"/>
  <c r="W110" i="1"/>
  <c r="V110" i="1"/>
  <c r="U110" i="1"/>
  <c r="T110" i="1"/>
  <c r="X109" i="1"/>
  <c r="W109" i="1"/>
  <c r="V109" i="1"/>
  <c r="U109" i="1"/>
  <c r="T109" i="1"/>
  <c r="X108" i="1"/>
  <c r="W108" i="1"/>
  <c r="V108" i="1"/>
  <c r="U108" i="1"/>
  <c r="T108" i="1"/>
  <c r="X107" i="1"/>
  <c r="W107" i="1"/>
  <c r="V107" i="1"/>
  <c r="U107" i="1"/>
  <c r="T107" i="1"/>
  <c r="X106" i="1"/>
  <c r="W106" i="1"/>
  <c r="V106" i="1"/>
  <c r="U106" i="1"/>
  <c r="T106" i="1"/>
  <c r="X105" i="1"/>
  <c r="W105" i="1"/>
  <c r="V105" i="1"/>
  <c r="U105" i="1"/>
  <c r="T105" i="1"/>
  <c r="X104" i="1"/>
  <c r="W104" i="1"/>
  <c r="V104" i="1"/>
  <c r="U104" i="1"/>
  <c r="T104" i="1"/>
  <c r="X103" i="1"/>
  <c r="W103" i="1"/>
  <c r="V103" i="1"/>
  <c r="U103" i="1"/>
  <c r="T103" i="1"/>
  <c r="X102" i="1"/>
  <c r="W102" i="1"/>
  <c r="V102" i="1"/>
  <c r="U102" i="1"/>
  <c r="T102" i="1"/>
  <c r="X101" i="1"/>
  <c r="W101" i="1"/>
  <c r="V101" i="1"/>
  <c r="U101" i="1"/>
  <c r="T101" i="1"/>
  <c r="X100" i="1"/>
  <c r="W100" i="1"/>
  <c r="V100" i="1"/>
  <c r="U100" i="1"/>
  <c r="T100" i="1"/>
  <c r="X99" i="1"/>
  <c r="W99" i="1"/>
  <c r="V99" i="1"/>
  <c r="U99" i="1"/>
  <c r="T99" i="1"/>
  <c r="X98" i="1"/>
  <c r="W98" i="1"/>
  <c r="V98" i="1"/>
  <c r="U98" i="1"/>
  <c r="T98" i="1"/>
  <c r="X97" i="1"/>
  <c r="W97" i="1"/>
  <c r="V97" i="1"/>
  <c r="U97" i="1"/>
  <c r="T97" i="1"/>
  <c r="X96" i="1"/>
  <c r="W96" i="1"/>
  <c r="V96" i="1"/>
  <c r="U96" i="1"/>
  <c r="T96" i="1"/>
  <c r="X95" i="1"/>
  <c r="W95" i="1"/>
  <c r="V95" i="1"/>
  <c r="U95" i="1"/>
  <c r="T9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2" i="1"/>
  <c r="V2" i="1"/>
  <c r="U2" i="1"/>
  <c r="T2" i="1"/>
  <c r="W434" i="1"/>
  <c r="V434" i="1"/>
  <c r="U434" i="1"/>
  <c r="T434" i="1"/>
  <c r="W433" i="1"/>
  <c r="V433" i="1"/>
  <c r="U433" i="1"/>
  <c r="T433" i="1"/>
  <c r="W432" i="1"/>
  <c r="V432" i="1"/>
  <c r="U432" i="1"/>
  <c r="T432" i="1"/>
  <c r="W431" i="1"/>
  <c r="V431" i="1"/>
  <c r="U431" i="1"/>
  <c r="T431" i="1"/>
  <c r="W430" i="1"/>
  <c r="V430" i="1"/>
  <c r="U430" i="1"/>
  <c r="T430" i="1"/>
  <c r="W429" i="1"/>
  <c r="V429" i="1"/>
  <c r="U429" i="1"/>
  <c r="T429" i="1"/>
  <c r="W428" i="1"/>
  <c r="V428" i="1"/>
  <c r="U428" i="1"/>
  <c r="T428" i="1"/>
  <c r="W427" i="1"/>
  <c r="V427" i="1"/>
  <c r="U427" i="1"/>
  <c r="T427" i="1"/>
  <c r="W426" i="1"/>
  <c r="V426" i="1"/>
  <c r="U426" i="1"/>
  <c r="T426" i="1"/>
  <c r="W425" i="1"/>
  <c r="V425" i="1"/>
  <c r="U425" i="1"/>
  <c r="T425" i="1"/>
  <c r="W424" i="1"/>
  <c r="V424" i="1"/>
  <c r="U424" i="1"/>
  <c r="T424" i="1"/>
  <c r="W423" i="1"/>
  <c r="V423" i="1"/>
  <c r="U423" i="1"/>
  <c r="T423" i="1"/>
  <c r="W422" i="1"/>
  <c r="V422" i="1"/>
  <c r="U422" i="1"/>
  <c r="T422" i="1"/>
  <c r="W421" i="1"/>
  <c r="V421" i="1"/>
  <c r="U421" i="1"/>
  <c r="T421" i="1"/>
  <c r="W420" i="1"/>
  <c r="V420" i="1"/>
  <c r="U420" i="1"/>
  <c r="T420" i="1"/>
  <c r="W419" i="1"/>
  <c r="V419" i="1"/>
  <c r="U419" i="1"/>
  <c r="T419" i="1"/>
  <c r="W418" i="1"/>
  <c r="V418" i="1"/>
  <c r="U418" i="1"/>
  <c r="T418" i="1"/>
  <c r="W417" i="1"/>
  <c r="V417" i="1"/>
  <c r="U417" i="1"/>
  <c r="T417" i="1"/>
  <c r="W416" i="1"/>
  <c r="V416" i="1"/>
  <c r="U416" i="1"/>
  <c r="T416" i="1"/>
  <c r="W415" i="1"/>
  <c r="V415" i="1"/>
  <c r="U415" i="1"/>
  <c r="T415" i="1"/>
  <c r="W414" i="1"/>
  <c r="V414" i="1"/>
  <c r="U414" i="1"/>
  <c r="T414" i="1"/>
  <c r="W413" i="1"/>
  <c r="V413" i="1"/>
  <c r="U413" i="1"/>
  <c r="T413" i="1"/>
  <c r="W412" i="1"/>
  <c r="V412" i="1"/>
  <c r="U412" i="1"/>
  <c r="T412" i="1"/>
  <c r="W411" i="1"/>
  <c r="V411" i="1"/>
  <c r="U411" i="1"/>
  <c r="T411" i="1"/>
  <c r="W410" i="1"/>
  <c r="V410" i="1"/>
  <c r="U410" i="1"/>
  <c r="T410" i="1"/>
  <c r="W409" i="1"/>
  <c r="V409" i="1"/>
  <c r="U409" i="1"/>
  <c r="T409" i="1"/>
  <c r="W408" i="1"/>
  <c r="V408" i="1"/>
  <c r="U408" i="1"/>
  <c r="T408" i="1"/>
  <c r="W407" i="1"/>
  <c r="V407" i="1"/>
  <c r="U407" i="1"/>
  <c r="T407" i="1"/>
  <c r="W406" i="1"/>
  <c r="V406" i="1"/>
  <c r="U406" i="1"/>
  <c r="T406" i="1"/>
  <c r="W405" i="1"/>
  <c r="V405" i="1"/>
  <c r="U405" i="1"/>
  <c r="T405" i="1"/>
  <c r="W404" i="1"/>
  <c r="V404" i="1"/>
  <c r="U404" i="1"/>
  <c r="T404" i="1"/>
  <c r="W279" i="1"/>
  <c r="V279" i="1"/>
  <c r="U279" i="1"/>
  <c r="T279" i="1"/>
  <c r="W278" i="1"/>
  <c r="V278" i="1"/>
  <c r="U278" i="1"/>
  <c r="T278" i="1"/>
  <c r="W277" i="1"/>
  <c r="V277" i="1"/>
  <c r="U277" i="1"/>
  <c r="T277" i="1"/>
  <c r="W276" i="1"/>
  <c r="V276" i="1"/>
  <c r="U276" i="1"/>
  <c r="T276" i="1"/>
  <c r="W275" i="1"/>
  <c r="V275" i="1"/>
  <c r="U275" i="1"/>
  <c r="T275" i="1"/>
  <c r="W274" i="1"/>
  <c r="V274" i="1"/>
  <c r="U274" i="1"/>
  <c r="T274" i="1"/>
  <c r="W273" i="1"/>
  <c r="V273" i="1"/>
  <c r="U273" i="1"/>
  <c r="T273" i="1"/>
  <c r="W272" i="1"/>
  <c r="V272" i="1"/>
  <c r="U272" i="1"/>
  <c r="T272" i="1"/>
  <c r="W271" i="1"/>
  <c r="V271" i="1"/>
  <c r="U271" i="1"/>
  <c r="T271" i="1"/>
  <c r="W270" i="1"/>
  <c r="V270" i="1"/>
  <c r="U270" i="1"/>
  <c r="T270" i="1"/>
  <c r="W269" i="1"/>
  <c r="V269" i="1"/>
  <c r="U269" i="1"/>
  <c r="T269" i="1"/>
  <c r="W268" i="1"/>
  <c r="V268" i="1"/>
  <c r="U268" i="1"/>
  <c r="T268" i="1"/>
  <c r="W267" i="1"/>
  <c r="V267" i="1"/>
  <c r="U267" i="1"/>
  <c r="T267" i="1"/>
  <c r="W266" i="1"/>
  <c r="V266" i="1"/>
  <c r="U266" i="1"/>
  <c r="T266" i="1"/>
  <c r="W265" i="1"/>
  <c r="V265" i="1"/>
  <c r="U265" i="1"/>
  <c r="T265" i="1"/>
  <c r="W264" i="1"/>
  <c r="V264" i="1"/>
  <c r="U264" i="1"/>
  <c r="T264" i="1"/>
  <c r="W263" i="1"/>
  <c r="V263" i="1"/>
  <c r="U263" i="1"/>
  <c r="T263" i="1"/>
  <c r="W262" i="1"/>
  <c r="V262" i="1"/>
  <c r="U262" i="1"/>
  <c r="T262" i="1"/>
  <c r="W261" i="1"/>
  <c r="V261" i="1"/>
  <c r="U261" i="1"/>
  <c r="T261" i="1"/>
  <c r="W260" i="1"/>
  <c r="V260" i="1"/>
  <c r="U260" i="1"/>
  <c r="T260" i="1"/>
  <c r="W259" i="1"/>
  <c r="V259" i="1"/>
  <c r="U259" i="1"/>
  <c r="T259" i="1"/>
  <c r="W258" i="1"/>
  <c r="V258" i="1"/>
  <c r="U258" i="1"/>
  <c r="T258" i="1"/>
  <c r="W257" i="1"/>
  <c r="V257" i="1"/>
  <c r="U257" i="1"/>
  <c r="T257" i="1"/>
  <c r="W256" i="1"/>
  <c r="V256" i="1"/>
  <c r="U256" i="1"/>
  <c r="T256" i="1"/>
  <c r="W255" i="1"/>
  <c r="V255" i="1"/>
  <c r="U255" i="1"/>
  <c r="T255" i="1"/>
  <c r="W254" i="1"/>
  <c r="V254" i="1"/>
  <c r="U254" i="1"/>
  <c r="T254" i="1"/>
  <c r="W253" i="1"/>
  <c r="V253" i="1"/>
  <c r="U253" i="1"/>
  <c r="T253" i="1"/>
  <c r="W252" i="1"/>
  <c r="V252" i="1"/>
  <c r="U252" i="1"/>
  <c r="T252" i="1"/>
  <c r="W251" i="1"/>
  <c r="V251" i="1"/>
  <c r="U251" i="1"/>
  <c r="T251" i="1"/>
  <c r="W250" i="1"/>
  <c r="V250" i="1"/>
  <c r="U250" i="1"/>
  <c r="T250" i="1"/>
  <c r="W249" i="1"/>
  <c r="V249" i="1"/>
  <c r="U249" i="1"/>
  <c r="T249" i="1"/>
  <c r="W187" i="1"/>
  <c r="V187" i="1"/>
  <c r="U187" i="1"/>
  <c r="T187" i="1"/>
  <c r="W186" i="1"/>
  <c r="V186" i="1"/>
  <c r="U186" i="1"/>
  <c r="T186" i="1"/>
  <c r="W185" i="1"/>
  <c r="V185" i="1"/>
  <c r="U185" i="1"/>
  <c r="T185" i="1"/>
  <c r="W184" i="1"/>
  <c r="V184" i="1"/>
  <c r="U184" i="1"/>
  <c r="T184" i="1"/>
  <c r="W183" i="1"/>
  <c r="V183" i="1"/>
  <c r="U183" i="1"/>
  <c r="T183" i="1"/>
  <c r="W182" i="1"/>
  <c r="V182" i="1"/>
  <c r="U182" i="1"/>
  <c r="T182" i="1"/>
  <c r="W181" i="1"/>
  <c r="V181" i="1"/>
  <c r="U181" i="1"/>
  <c r="T181" i="1"/>
  <c r="W180" i="1"/>
  <c r="V180" i="1"/>
  <c r="U180" i="1"/>
  <c r="T180" i="1"/>
  <c r="W179" i="1"/>
  <c r="V179" i="1"/>
  <c r="U179" i="1"/>
  <c r="T179" i="1"/>
  <c r="W178" i="1"/>
  <c r="V178" i="1"/>
  <c r="U178" i="1"/>
  <c r="T178" i="1"/>
  <c r="W177" i="1"/>
  <c r="V177" i="1"/>
  <c r="U177" i="1"/>
  <c r="T177" i="1"/>
  <c r="W176" i="1"/>
  <c r="V176" i="1"/>
  <c r="U176" i="1"/>
  <c r="T176" i="1"/>
  <c r="W175" i="1"/>
  <c r="V175" i="1"/>
  <c r="U175" i="1"/>
  <c r="T175" i="1"/>
  <c r="W174" i="1"/>
  <c r="V174" i="1"/>
  <c r="U174" i="1"/>
  <c r="T174" i="1"/>
  <c r="W173" i="1"/>
  <c r="V173" i="1"/>
  <c r="U173" i="1"/>
  <c r="T173" i="1"/>
  <c r="W172" i="1"/>
  <c r="V172" i="1"/>
  <c r="U172" i="1"/>
  <c r="T172" i="1"/>
  <c r="W171" i="1"/>
  <c r="V171" i="1"/>
  <c r="U171" i="1"/>
  <c r="T171" i="1"/>
  <c r="W170" i="1"/>
  <c r="V170" i="1"/>
  <c r="U170" i="1"/>
  <c r="T170" i="1"/>
  <c r="W169" i="1"/>
  <c r="V169" i="1"/>
  <c r="U169" i="1"/>
  <c r="T169" i="1"/>
  <c r="W168" i="1"/>
  <c r="V168" i="1"/>
  <c r="U168" i="1"/>
  <c r="T168" i="1"/>
  <c r="W167" i="1"/>
  <c r="V167" i="1"/>
  <c r="U167" i="1"/>
  <c r="T167" i="1"/>
  <c r="W166" i="1"/>
  <c r="V166" i="1"/>
  <c r="U166" i="1"/>
  <c r="T166" i="1"/>
  <c r="W165" i="1"/>
  <c r="V165" i="1"/>
  <c r="U165" i="1"/>
  <c r="T165" i="1"/>
  <c r="W164" i="1"/>
  <c r="V164" i="1"/>
  <c r="U164" i="1"/>
  <c r="T164" i="1"/>
  <c r="W163" i="1"/>
  <c r="V163" i="1"/>
  <c r="U163" i="1"/>
  <c r="T163" i="1"/>
  <c r="W162" i="1"/>
  <c r="V162" i="1"/>
  <c r="U162" i="1"/>
  <c r="T162" i="1"/>
  <c r="W161" i="1"/>
  <c r="V161" i="1"/>
  <c r="U161" i="1"/>
  <c r="T161" i="1"/>
  <c r="W160" i="1"/>
  <c r="V160" i="1"/>
  <c r="U160" i="1"/>
  <c r="T160" i="1"/>
  <c r="W159" i="1"/>
  <c r="V159" i="1"/>
  <c r="U159" i="1"/>
  <c r="T159" i="1"/>
  <c r="W158" i="1"/>
  <c r="V158" i="1"/>
  <c r="U158" i="1"/>
  <c r="T158" i="1"/>
  <c r="W157" i="1"/>
  <c r="V157" i="1"/>
  <c r="U157" i="1"/>
  <c r="T157" i="1"/>
  <c r="W156" i="1"/>
  <c r="V156" i="1"/>
  <c r="U156" i="1"/>
  <c r="T156" i="1"/>
  <c r="W63" i="1"/>
  <c r="V63" i="1"/>
  <c r="U63" i="1"/>
  <c r="T63" i="1"/>
  <c r="W62" i="1"/>
  <c r="V62" i="1"/>
  <c r="U62" i="1"/>
  <c r="T62" i="1"/>
  <c r="W61" i="1"/>
  <c r="V61" i="1"/>
  <c r="U61" i="1"/>
  <c r="T61" i="1"/>
  <c r="W60" i="1"/>
  <c r="V60" i="1"/>
  <c r="U60" i="1"/>
  <c r="T60" i="1"/>
  <c r="W59" i="1"/>
  <c r="V59" i="1"/>
  <c r="U59" i="1"/>
  <c r="T59" i="1"/>
  <c r="W58" i="1"/>
  <c r="V58" i="1"/>
  <c r="U58" i="1"/>
  <c r="T58" i="1"/>
  <c r="W57" i="1"/>
  <c r="V57" i="1"/>
  <c r="U57" i="1"/>
  <c r="T57" i="1"/>
  <c r="W56" i="1"/>
  <c r="V56" i="1"/>
  <c r="U56" i="1"/>
  <c r="T56" i="1"/>
  <c r="W55" i="1"/>
  <c r="V55" i="1"/>
  <c r="U55" i="1"/>
  <c r="T55" i="1"/>
  <c r="W54" i="1"/>
  <c r="V54" i="1"/>
  <c r="U54" i="1"/>
  <c r="T54" i="1"/>
  <c r="W53" i="1"/>
  <c r="V53" i="1"/>
  <c r="U53" i="1"/>
  <c r="T53" i="1"/>
  <c r="W52" i="1"/>
  <c r="V52" i="1"/>
  <c r="U52" i="1"/>
  <c r="T52" i="1"/>
  <c r="W51" i="1"/>
  <c r="V51" i="1"/>
  <c r="U51" i="1"/>
  <c r="T51" i="1"/>
  <c r="W50" i="1"/>
  <c r="V50" i="1"/>
  <c r="U50" i="1"/>
  <c r="T50" i="1"/>
  <c r="W49" i="1"/>
  <c r="V49" i="1"/>
  <c r="U49" i="1"/>
  <c r="T49" i="1"/>
  <c r="W48" i="1"/>
  <c r="V48" i="1"/>
  <c r="U48" i="1"/>
  <c r="T48" i="1"/>
  <c r="W47" i="1"/>
  <c r="V47" i="1"/>
  <c r="U47" i="1"/>
  <c r="T47" i="1"/>
  <c r="W46" i="1"/>
  <c r="V46" i="1"/>
  <c r="U46" i="1"/>
  <c r="T46" i="1"/>
  <c r="W45" i="1"/>
  <c r="V45" i="1"/>
  <c r="U45" i="1"/>
  <c r="T45" i="1"/>
  <c r="W44" i="1"/>
  <c r="V44" i="1"/>
  <c r="U44" i="1"/>
  <c r="T44" i="1"/>
  <c r="W43" i="1"/>
  <c r="V43" i="1"/>
  <c r="U43" i="1"/>
  <c r="T43" i="1"/>
  <c r="W42" i="1"/>
  <c r="V42" i="1"/>
  <c r="U42" i="1"/>
  <c r="T42" i="1"/>
  <c r="W41" i="1"/>
  <c r="V41" i="1"/>
  <c r="U41" i="1"/>
  <c r="T41" i="1"/>
  <c r="W40" i="1"/>
  <c r="V40" i="1"/>
  <c r="U40" i="1"/>
  <c r="T40" i="1"/>
  <c r="W39" i="1"/>
  <c r="V39" i="1"/>
  <c r="U39" i="1"/>
  <c r="T39" i="1"/>
  <c r="W38" i="1"/>
  <c r="V38" i="1"/>
  <c r="U38" i="1"/>
  <c r="T38" i="1"/>
  <c r="W37" i="1"/>
  <c r="V37" i="1"/>
  <c r="U37" i="1"/>
  <c r="T37" i="1"/>
  <c r="W36" i="1"/>
  <c r="V36" i="1"/>
  <c r="U36" i="1"/>
  <c r="T36" i="1"/>
  <c r="W35" i="1"/>
  <c r="V35" i="1"/>
  <c r="U35" i="1"/>
  <c r="T35" i="1"/>
  <c r="W34" i="1"/>
  <c r="V34" i="1"/>
  <c r="U34" i="1"/>
  <c r="T34" i="1"/>
  <c r="W33" i="1"/>
  <c r="V33" i="1"/>
  <c r="U33" i="1"/>
  <c r="T33" i="1"/>
  <c r="W32" i="1"/>
  <c r="V32" i="1"/>
  <c r="U32" i="1"/>
  <c r="T32" i="1"/>
  <c r="W31" i="1"/>
  <c r="V31" i="1"/>
  <c r="U31" i="1"/>
  <c r="T31" i="1"/>
  <c r="W30" i="1"/>
  <c r="V30" i="1"/>
  <c r="U30" i="1"/>
  <c r="T30" i="1"/>
  <c r="W29" i="1"/>
  <c r="V29" i="1"/>
  <c r="U29" i="1"/>
  <c r="T29" i="1"/>
  <c r="W28" i="1"/>
  <c r="V28" i="1"/>
  <c r="U28" i="1"/>
  <c r="T28" i="1"/>
  <c r="W27" i="1"/>
  <c r="V27" i="1"/>
  <c r="U27" i="1"/>
  <c r="T27" i="1"/>
  <c r="W26" i="1"/>
  <c r="V26" i="1"/>
  <c r="U26" i="1"/>
  <c r="T26" i="1"/>
  <c r="W25" i="1"/>
  <c r="V25" i="1"/>
  <c r="U25" i="1"/>
  <c r="T25" i="1"/>
  <c r="W24" i="1"/>
  <c r="V24" i="1"/>
  <c r="U24" i="1"/>
  <c r="T24" i="1"/>
  <c r="W23" i="1"/>
  <c r="V23" i="1"/>
  <c r="U23" i="1"/>
  <c r="T23" i="1"/>
  <c r="W22" i="1"/>
  <c r="V22" i="1"/>
  <c r="U22" i="1"/>
  <c r="T22" i="1"/>
  <c r="W21" i="1"/>
  <c r="V21" i="1"/>
  <c r="U21" i="1"/>
  <c r="T21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T17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W3" i="1"/>
  <c r="V3" i="1"/>
  <c r="U3" i="1"/>
  <c r="T3" i="1"/>
</calcChain>
</file>

<file path=xl/sharedStrings.xml><?xml version="1.0" encoding="utf-8"?>
<sst xmlns="http://schemas.openxmlformats.org/spreadsheetml/2006/main" count="8191" uniqueCount="144">
  <si>
    <t>Group</t>
  </si>
  <si>
    <t>Treatment</t>
  </si>
  <si>
    <t>G01</t>
  </si>
  <si>
    <t>Loss</t>
  </si>
  <si>
    <t>G04</t>
  </si>
  <si>
    <t>G06</t>
  </si>
  <si>
    <t>Hybrid</t>
  </si>
  <si>
    <t>G07</t>
  </si>
  <si>
    <t>Gain</t>
  </si>
  <si>
    <t>G08</t>
  </si>
  <si>
    <t>G02</t>
  </si>
  <si>
    <t>G03</t>
  </si>
  <si>
    <t>G05</t>
  </si>
  <si>
    <t>-</t>
  </si>
  <si>
    <t>G12</t>
  </si>
  <si>
    <t>G13</t>
  </si>
  <si>
    <t>G14</t>
  </si>
  <si>
    <t>G11</t>
  </si>
  <si>
    <t>G10</t>
  </si>
  <si>
    <t>G09</t>
  </si>
  <si>
    <t>dolg1</t>
  </si>
  <si>
    <t>dolg2</t>
  </si>
  <si>
    <t>dolg3</t>
  </si>
  <si>
    <t>dolg4</t>
  </si>
  <si>
    <t>final_test</t>
  </si>
  <si>
    <t>Székesfehérvár</t>
  </si>
  <si>
    <t>test1</t>
  </si>
  <si>
    <t>test2</t>
  </si>
  <si>
    <t>test3</t>
  </si>
  <si>
    <t>test4</t>
  </si>
  <si>
    <t>final_test_orig</t>
  </si>
  <si>
    <t>"Székesfehérvár Time"</t>
  </si>
  <si>
    <t>Time_slot</t>
  </si>
  <si>
    <t>Teacher_id</t>
  </si>
  <si>
    <t>Milyen szakra jár?
Kérjük, válaszd ki a megfelelőt az alábbi listából.</t>
  </si>
  <si>
    <t>Ebből hány tárgy kötelező?</t>
  </si>
  <si>
    <t>Hány idősávban van órája egy héten átlagosan az órarend szerint?
Egy idősáv alatt egy 90 perces órát értünk. Kérjük vedd figyelembe az előadásokat és a szemináriumokat is!</t>
  </si>
  <si>
    <t>Tanul másik szakon a jelenlegivel párhuzamosan? (Akár ezen az egyetemen, akár másik egyetemen.)</t>
  </si>
  <si>
    <t>Dolgozik vagy tervez dolgozni ebben a félévben az egyetem mellett?</t>
  </si>
  <si>
    <t>Tanult deriválni a középiskolás évei alatt?</t>
  </si>
  <si>
    <t>Milyen kategóriába tartozik a tanulmányaid szempontjából a Makroökonómia tantárgy?</t>
  </si>
  <si>
    <t>Hányadik alkalommal vette fel a Makroökonómia kurzust?</t>
  </si>
  <si>
    <t>Ha másodjára vagy többedjére vette fel, mi ennek az oka? - Selected Choice</t>
  </si>
  <si>
    <t>Ha másodjára vagy többedjére vette fel, mi ennek az oka? - Egyéb, éspedig: - Text</t>
  </si>
  <si>
    <t>Mennyire érdekli a Makroökonómia tárgy? 
Kérjük, értékeld egy 1-től 5-ig terjedő skálán, ahol az 1 azt jelenti, hogy egyáltalán nem érdekel, az 5 pedig azt jelenti, hogy nagyon érdekel.</t>
  </si>
  <si>
    <t>Milyen jegyet szeretne kapni Makroökonómia tárgyból?</t>
  </si>
  <si>
    <t>Meg tudná mondani, hogy mennyire hajlandó kockázatokat vállalni, vagy elkerülni a kockázatot?
Kérjük, válaszolj egy 0-tól 10-ig terjedő skála segítségével, ahol a 0 azt jelenti, hogy “egyáltalán nem vagyok hajlandó kockázatot vállalni”, a 10 pedig azt, hogy “nagyon hajlandó vagyok kockázatot vállalni”.</t>
  </si>
  <si>
    <t>Mennyire igaz a következő kijelentés: A versengés a legjobbat hozza ki belőlem.
Kérjük, válaszolj egy 0-tól 10-ig terjedő skála segítségével, ahol a 0 azt jelenti, hogy “egyáltalán nem jellemző rám”, a 10 pedig azt, hogy “teljes mértékben jellemző rám”.</t>
  </si>
  <si>
    <t>Tegyük fel, hogy ma kapna 10.000 forintot. Mi az a legkisebb összeg, amit kérne egy hét múlva azért, hogy ma visszautasítsa ezt a 10.000 forintot?</t>
  </si>
  <si>
    <t>Nő</t>
  </si>
  <si>
    <t>2002</t>
  </si>
  <si>
    <t>Város</t>
  </si>
  <si>
    <t>Borsod-Abaúj-Zemplén megye</t>
  </si>
  <si>
    <t>Érettségit adó középiskola (gimnázium, szakközépiskola)</t>
  </si>
  <si>
    <t>Szakmunkásképző, szakiskola (érettségi nélkül)</t>
  </si>
  <si>
    <t>Nem</t>
  </si>
  <si>
    <t>Igen</t>
  </si>
  <si>
    <t>gazdálkodási és menedzsment</t>
  </si>
  <si>
    <t>Corvinus ösztöndíjas</t>
  </si>
  <si>
    <t>elsőéves</t>
  </si>
  <si>
    <t/>
  </si>
  <si>
    <t>Igen, részmunkaidőben</t>
  </si>
  <si>
    <t>Kötelező tárgy</t>
  </si>
  <si>
    <t>Első alkalommal</t>
  </si>
  <si>
    <t>5</t>
  </si>
  <si>
    <t>12.000 forint</t>
  </si>
  <si>
    <t>Férfi</t>
  </si>
  <si>
    <t>2001</t>
  </si>
  <si>
    <t>Pest megye</t>
  </si>
  <si>
    <t>Főiskola, egyetem</t>
  </si>
  <si>
    <t>15.000 forint</t>
  </si>
  <si>
    <t>2003</t>
  </si>
  <si>
    <t>Megyeszékhely, megyei jogú város</t>
  </si>
  <si>
    <t>Hajdú-Bihar megye</t>
  </si>
  <si>
    <t>Főváros</t>
  </si>
  <si>
    <t>Község, nagyközség</t>
  </si>
  <si>
    <t>11.000 forint</t>
  </si>
  <si>
    <t>Komárom-Esztergom megye</t>
  </si>
  <si>
    <t>4</t>
  </si>
  <si>
    <t>Költségtérítéses, önköltséges</t>
  </si>
  <si>
    <t>2004</t>
  </si>
  <si>
    <t>Zala megye</t>
  </si>
  <si>
    <t>20.000 forint</t>
  </si>
  <si>
    <t>Somogy megye</t>
  </si>
  <si>
    <t>Vas megye</t>
  </si>
  <si>
    <t>Szabolcs-Szatmár-Bereg megye</t>
  </si>
  <si>
    <t>Heves megye</t>
  </si>
  <si>
    <t>Békés megye</t>
  </si>
  <si>
    <t>Külföldön</t>
  </si>
  <si>
    <t>Budapest</t>
  </si>
  <si>
    <t>Bács-Kiskun megye</t>
  </si>
  <si>
    <t>Igen, teljes munkaidőben</t>
  </si>
  <si>
    <t>Győr-Moson-Sopron megye</t>
  </si>
  <si>
    <t>Fejér megye</t>
  </si>
  <si>
    <t>Jász-Nagykun-Szolnok megye</t>
  </si>
  <si>
    <t>Legfeljebb 8 általános</t>
  </si>
  <si>
    <t>másodéves</t>
  </si>
  <si>
    <t>Második alkalommal</t>
  </si>
  <si>
    <t>Korábban nem sikerült teljesíteni a tárgyat.</t>
  </si>
  <si>
    <t>3</t>
  </si>
  <si>
    <t>Veszprém megye</t>
  </si>
  <si>
    <t>1999</t>
  </si>
  <si>
    <t>Igen, de azon a szakon passzív félévem van  jelenleg</t>
  </si>
  <si>
    <t>Tolna megye</t>
  </si>
  <si>
    <t>gazdaságinformatikus</t>
  </si>
  <si>
    <t>harmadéves</t>
  </si>
  <si>
    <t>Igen, és azon a szakon is aktív félévem van jelenleg</t>
  </si>
  <si>
    <t>Külföldi település</t>
  </si>
  <si>
    <t>Csongrád-Csanád megye</t>
  </si>
  <si>
    <t>Baranya megye</t>
  </si>
  <si>
    <t>Egyéb, nem kívánok válaszolni</t>
  </si>
  <si>
    <t>Nógrád megye</t>
  </si>
  <si>
    <t>Nem tudom, nem ismertem, nem élt</t>
  </si>
  <si>
    <t>1997</t>
  </si>
  <si>
    <t>2</t>
  </si>
  <si>
    <t>2005</t>
  </si>
  <si>
    <t>2000</t>
  </si>
  <si>
    <t>Harmadik alkalommal vagy többedjére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</si>
  <si>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</si>
  <si>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</si>
  <si>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</si>
  <si>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</si>
  <si>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</si>
  <si>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</si>
  <si>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</si>
  <si>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</si>
  <si>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</si>
  <si>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</si>
  <si>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</si>
  <si>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</si>
  <si>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gender</t>
  </si>
  <si>
    <t>birth_date</t>
  </si>
  <si>
    <t>city_type</t>
  </si>
  <si>
    <t>megye</t>
  </si>
  <si>
    <t>mother_educ</t>
  </si>
  <si>
    <t>father_educ</t>
  </si>
  <si>
    <t>college_stud</t>
  </si>
  <si>
    <t>social_grant</t>
  </si>
  <si>
    <t>student_union</t>
  </si>
  <si>
    <t>study_finance</t>
  </si>
  <si>
    <t>university_year</t>
  </si>
  <si>
    <t>passive_semesters</t>
  </si>
  <si>
    <t>classes_this_semester</t>
  </si>
  <si>
    <t>credits_this_semester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</si>
</sst>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49" fontId="0" fillId="2" borderId="0" xfId="0" applyNumberFormat="1" applyFill="1" applyProtection="1">
      <protection locked="0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Protection="1">
      <protection locked="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 applyProtection="1">
      <alignment horizontal="left"/>
      <protection locked="0"/>
    </xf>
    <xf numFmtId="49" fontId="6" fillId="3" borderId="1" xfId="0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/>
    <xf numFmtId="0" fontId="8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_projects/cikkek/loss_aversion_students/data_origin/toninak/pontozas_tipu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árgy kurzusai"/>
    </sheetNames>
    <sheetDataSet>
      <sheetData sheetId="0">
        <row r="1">
          <cell r="A1" t="str">
            <v>Kurzus kódja</v>
          </cell>
          <cell r="B1" t="str">
            <v>Kurzus típusa</v>
          </cell>
          <cell r="C1" t="str">
            <v>Órarend infó</v>
          </cell>
          <cell r="D1" t="str">
            <v>Oktatók</v>
          </cell>
          <cell r="E1" t="str">
            <v>Pontozás típusa</v>
          </cell>
        </row>
        <row r="2">
          <cell r="A2" t="str">
            <v>E01</v>
          </cell>
          <cell r="B2" t="str">
            <v>Elmélet</v>
          </cell>
          <cell r="C2" t="str">
            <v>H:09:50-11:20(E.fsz.IV.ea.)</v>
          </cell>
          <cell r="D2" t="str">
            <v>Rácz Olivér Miklós</v>
          </cell>
          <cell r="E2" t="str">
            <v>---</v>
          </cell>
        </row>
        <row r="3">
          <cell r="A3" t="str">
            <v>G01</v>
          </cell>
          <cell r="B3" t="str">
            <v>Gyakorlat</v>
          </cell>
          <cell r="C3" t="str">
            <v>K:08:00-09:30(E.3.328)</v>
          </cell>
          <cell r="D3" t="str">
            <v>Dr. Németh Petra</v>
          </cell>
          <cell r="E3" t="str">
            <v>loss</v>
          </cell>
          <cell r="F3">
            <v>1</v>
          </cell>
        </row>
        <row r="4">
          <cell r="A4" t="str">
            <v>G02</v>
          </cell>
          <cell r="B4" t="str">
            <v>Gyakorlat</v>
          </cell>
          <cell r="C4" t="str">
            <v>K:09:50-11:20(S.A.EA1)</v>
          </cell>
          <cell r="D4" t="str">
            <v>Dr. Kuncz Izabella</v>
          </cell>
          <cell r="E4" t="str">
            <v>loss</v>
          </cell>
          <cell r="F4">
            <v>2</v>
          </cell>
        </row>
        <row r="5">
          <cell r="A5" t="str">
            <v>G03</v>
          </cell>
          <cell r="B5" t="str">
            <v>Gyakorlat</v>
          </cell>
          <cell r="C5" t="str">
            <v>CS:08:00-09:30(E.3.326)</v>
          </cell>
          <cell r="D5" t="str">
            <v>Dr. Kuncz Izabella</v>
          </cell>
          <cell r="E5" t="str">
            <v>hybrid</v>
          </cell>
          <cell r="F5">
            <v>2</v>
          </cell>
        </row>
        <row r="6">
          <cell r="A6" t="str">
            <v>G04</v>
          </cell>
          <cell r="B6" t="str">
            <v>Gyakorlat</v>
          </cell>
          <cell r="C6" t="str">
            <v>K:13:40-15:10(C 664)</v>
          </cell>
          <cell r="D6" t="str">
            <v>Dr. Misz József</v>
          </cell>
          <cell r="E6" t="str">
            <v>loss</v>
          </cell>
          <cell r="F6">
            <v>3</v>
          </cell>
        </row>
        <row r="7">
          <cell r="A7" t="str">
            <v>G05</v>
          </cell>
          <cell r="B7" t="str">
            <v>Gyakorlat</v>
          </cell>
          <cell r="C7" t="str">
            <v>K:17:20-18:50(E.3.395)</v>
          </cell>
          <cell r="D7" t="str">
            <v>Németh András Olivér</v>
          </cell>
          <cell r="E7" t="str">
            <v>hybrid</v>
          </cell>
          <cell r="F7">
            <v>4</v>
          </cell>
        </row>
        <row r="8">
          <cell r="A8" t="str">
            <v>G06</v>
          </cell>
          <cell r="B8" t="str">
            <v>Gyakorlat</v>
          </cell>
          <cell r="C8" t="str">
            <v>P:08:00-09:30(E.3.338)</v>
          </cell>
          <cell r="D8" t="str">
            <v>Dr. Misz József</v>
          </cell>
          <cell r="E8" t="str">
            <v>hybrid</v>
          </cell>
          <cell r="F8">
            <v>3</v>
          </cell>
        </row>
        <row r="9">
          <cell r="A9" t="str">
            <v>G07</v>
          </cell>
          <cell r="B9" t="str">
            <v>Gyakorlat</v>
          </cell>
          <cell r="C9" t="str">
            <v>P:09:50-11:20(E.3.338)</v>
          </cell>
          <cell r="D9" t="str">
            <v>Dr. Misz József</v>
          </cell>
          <cell r="E9" t="str">
            <v>gain</v>
          </cell>
          <cell r="F9">
            <v>3</v>
          </cell>
        </row>
        <row r="10">
          <cell r="A10" t="str">
            <v>G08</v>
          </cell>
          <cell r="B10" t="str">
            <v>Gyakorlat</v>
          </cell>
          <cell r="C10" t="str">
            <v>P:11:40-13:10(E.3.338)</v>
          </cell>
          <cell r="D10" t="str">
            <v>Dr. Misz József</v>
          </cell>
          <cell r="E10" t="str">
            <v>gain</v>
          </cell>
          <cell r="F10">
            <v>3</v>
          </cell>
        </row>
        <row r="11">
          <cell r="A11" t="str">
            <v>G09</v>
          </cell>
          <cell r="B11" t="str">
            <v>Gyakorlat</v>
          </cell>
          <cell r="C11" t="str">
            <v>SZE:09:50-11:20(C 103)</v>
          </cell>
          <cell r="D11" t="str">
            <v>Takács Olga</v>
          </cell>
          <cell r="E11" t="str">
            <v>loss</v>
          </cell>
          <cell r="F11">
            <v>5</v>
          </cell>
        </row>
        <row r="12">
          <cell r="A12" t="str">
            <v>G10</v>
          </cell>
          <cell r="B12" t="str">
            <v>Gyakorlat</v>
          </cell>
          <cell r="C12" t="str">
            <v>SZE:08:00-09:30(E.3.309)</v>
          </cell>
          <cell r="D12" t="str">
            <v>Takács Olga</v>
          </cell>
          <cell r="E12" t="str">
            <v>hybrid</v>
          </cell>
          <cell r="F12">
            <v>5</v>
          </cell>
        </row>
        <row r="13">
          <cell r="A13" t="str">
            <v>G11</v>
          </cell>
          <cell r="B13" t="str">
            <v>Gyakorlat</v>
          </cell>
          <cell r="C13" t="str">
            <v>SZE:15:30-17:00(E.3.309)</v>
          </cell>
          <cell r="D13" t="str">
            <v>Takács Olga</v>
          </cell>
          <cell r="E13" t="str">
            <v>gain</v>
          </cell>
          <cell r="F13">
            <v>5</v>
          </cell>
        </row>
        <row r="14">
          <cell r="A14" t="str">
            <v>G12</v>
          </cell>
          <cell r="B14" t="str">
            <v>Gyakorlat</v>
          </cell>
          <cell r="C14" t="str">
            <v>P:09:50-11:20(C 415)</v>
          </cell>
          <cell r="D14" t="str">
            <v>Tőkés László János</v>
          </cell>
          <cell r="E14" t="str">
            <v>loss</v>
          </cell>
          <cell r="F14">
            <v>6</v>
          </cell>
        </row>
        <row r="15">
          <cell r="A15" t="str">
            <v>G13</v>
          </cell>
          <cell r="B15" t="str">
            <v>Gyakorlat</v>
          </cell>
          <cell r="C15" t="str">
            <v>P:11:40-13:10(C 415)</v>
          </cell>
          <cell r="D15" t="str">
            <v>Tőkés László János</v>
          </cell>
          <cell r="E15" t="str">
            <v>hybrid</v>
          </cell>
          <cell r="F15">
            <v>6</v>
          </cell>
        </row>
        <row r="16">
          <cell r="A16" t="str">
            <v>G14</v>
          </cell>
          <cell r="B16" t="str">
            <v>Gyakorlat</v>
          </cell>
          <cell r="C16" t="str">
            <v>SZE:15:30-17:00(E.3.324)</v>
          </cell>
          <cell r="D16" t="str">
            <v>Tőkés László János</v>
          </cell>
          <cell r="E16" t="str">
            <v>gain</v>
          </cell>
          <cell r="F16">
            <v>6</v>
          </cell>
        </row>
        <row r="17">
          <cell r="C17" t="str">
            <v>fehérvári csoport</v>
          </cell>
          <cell r="D17" t="str">
            <v>Petra</v>
          </cell>
          <cell r="E17" t="str">
            <v>gain</v>
          </cell>
          <cell r="F17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2"/>
  <sheetViews>
    <sheetView tabSelected="1" workbookViewId="0">
      <selection sqref="A1:A1048576"/>
    </sheetView>
  </sheetViews>
  <sheetFormatPr baseColWidth="10" defaultColWidth="8.83203125" defaultRowHeight="15" x14ac:dyDescent="0.2"/>
  <cols>
    <col min="3" max="6" width="8.83203125" customWidth="1"/>
    <col min="7" max="7" width="17.33203125" customWidth="1"/>
    <col min="8" max="24" width="8.83203125" customWidth="1"/>
    <col min="27" max="27" width="9.6640625" bestFit="1" customWidth="1"/>
  </cols>
  <sheetData>
    <row r="1" spans="1:55" x14ac:dyDescent="0.2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30</v>
      </c>
      <c r="H1" s="21" t="s">
        <v>118</v>
      </c>
      <c r="I1" s="21" t="s">
        <v>119</v>
      </c>
      <c r="J1" s="21" t="s">
        <v>120</v>
      </c>
      <c r="K1" s="21" t="s">
        <v>121</v>
      </c>
      <c r="L1" s="21" t="s">
        <v>122</v>
      </c>
      <c r="M1" s="21" t="s">
        <v>123</v>
      </c>
      <c r="N1" s="21" t="s">
        <v>124</v>
      </c>
      <c r="O1" s="21" t="s">
        <v>125</v>
      </c>
      <c r="P1" s="21" t="s">
        <v>126</v>
      </c>
      <c r="Q1" s="21" t="s">
        <v>127</v>
      </c>
      <c r="R1" s="21" t="s">
        <v>128</v>
      </c>
      <c r="S1" s="21" t="s">
        <v>129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24</v>
      </c>
      <c r="Y1" s="1" t="s">
        <v>32</v>
      </c>
      <c r="Z1" s="1" t="s">
        <v>33</v>
      </c>
      <c r="AA1" s="23" t="s">
        <v>130</v>
      </c>
      <c r="AB1" s="23" t="s">
        <v>131</v>
      </c>
      <c r="AC1" s="23" t="s">
        <v>132</v>
      </c>
      <c r="AD1" s="23" t="s">
        <v>133</v>
      </c>
      <c r="AE1" s="23" t="s">
        <v>134</v>
      </c>
      <c r="AF1" s="23" t="s">
        <v>135</v>
      </c>
      <c r="AG1" s="23" t="s">
        <v>136</v>
      </c>
      <c r="AH1" s="23" t="s">
        <v>137</v>
      </c>
      <c r="AI1" s="23" t="s">
        <v>138</v>
      </c>
      <c r="AJ1" s="23" t="s">
        <v>34</v>
      </c>
      <c r="AK1" s="23" t="s">
        <v>139</v>
      </c>
      <c r="AL1" s="23" t="s">
        <v>140</v>
      </c>
      <c r="AM1" s="23" t="s">
        <v>141</v>
      </c>
      <c r="AN1" s="23" t="s">
        <v>142</v>
      </c>
      <c r="AO1" s="23" t="s">
        <v>143</v>
      </c>
      <c r="AP1" s="23" t="s">
        <v>35</v>
      </c>
      <c r="AQ1" s="23" t="s">
        <v>36</v>
      </c>
      <c r="AR1" s="23" t="s">
        <v>37</v>
      </c>
      <c r="AS1" s="23" t="s">
        <v>38</v>
      </c>
      <c r="AT1" s="23" t="s">
        <v>39</v>
      </c>
      <c r="AU1" s="23" t="s">
        <v>40</v>
      </c>
      <c r="AV1" s="23" t="s">
        <v>41</v>
      </c>
      <c r="AW1" s="23" t="s">
        <v>42</v>
      </c>
      <c r="AX1" s="23" t="s">
        <v>43</v>
      </c>
      <c r="AY1" s="23" t="s">
        <v>44</v>
      </c>
      <c r="AZ1" s="23" t="s">
        <v>45</v>
      </c>
      <c r="BA1" s="23" t="s">
        <v>46</v>
      </c>
      <c r="BB1" s="23" t="s">
        <v>47</v>
      </c>
      <c r="BC1" s="23" t="s">
        <v>48</v>
      </c>
    </row>
    <row r="2" spans="1:55" x14ac:dyDescent="0.2">
      <c r="A2" s="2" t="s">
        <v>2</v>
      </c>
      <c r="B2" s="2" t="s">
        <v>3</v>
      </c>
      <c r="C2" s="3">
        <v>-5</v>
      </c>
      <c r="D2" s="3">
        <v>-9.5</v>
      </c>
      <c r="E2" s="3">
        <v>-3</v>
      </c>
      <c r="F2" s="3">
        <v>-5.5</v>
      </c>
      <c r="G2" s="3">
        <v>-4.5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0.75</v>
      </c>
      <c r="R2">
        <v>1</v>
      </c>
      <c r="S2">
        <v>1</v>
      </c>
      <c r="T2">
        <f t="shared" ref="T2" si="0">16+C2</f>
        <v>11</v>
      </c>
      <c r="U2">
        <f t="shared" ref="U2" si="1">16+D2</f>
        <v>6.5</v>
      </c>
      <c r="V2">
        <f t="shared" ref="V2" si="2">16+E2</f>
        <v>13</v>
      </c>
      <c r="W2">
        <f t="shared" ref="W2" si="3">16+F2</f>
        <v>10.5</v>
      </c>
      <c r="X2">
        <f>40+G2</f>
        <v>35.5</v>
      </c>
      <c r="Y2" t="str">
        <f>+VLOOKUP(A2,'[1]Tárgy kurzusai'!$A:$C,3,0)</f>
        <v>K:08:00-09:30(E.3.328)</v>
      </c>
      <c r="Z2">
        <f>+VLOOKUP(A2,'[1]Tárgy kurzusai'!$A:$F,6,0)</f>
        <v>1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</row>
    <row r="3" spans="1:55" x14ac:dyDescent="0.2">
      <c r="A3" s="2" t="s">
        <v>2</v>
      </c>
      <c r="B3" s="2" t="s">
        <v>3</v>
      </c>
      <c r="C3" s="3">
        <v>-4</v>
      </c>
      <c r="D3" s="3">
        <v>-1</v>
      </c>
      <c r="E3" s="3">
        <v>0</v>
      </c>
      <c r="F3" s="3">
        <v>0</v>
      </c>
      <c r="G3" s="3">
        <v>-7.5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f t="shared" ref="T3:T63" si="4">16+C3</f>
        <v>12</v>
      </c>
      <c r="U3">
        <f t="shared" ref="U3:U63" si="5">16+D3</f>
        <v>15</v>
      </c>
      <c r="V3">
        <f t="shared" ref="V3:V63" si="6">16+E3</f>
        <v>16</v>
      </c>
      <c r="W3">
        <f t="shared" ref="W3:W63" si="7">16+F3</f>
        <v>16</v>
      </c>
      <c r="X3">
        <f t="shared" ref="X3:X63" si="8">40+G3</f>
        <v>32.5</v>
      </c>
      <c r="Y3" t="str">
        <f>+VLOOKUP(A3,'[1]Tárgy kurzusai'!$A:$C,3,0)</f>
        <v>K:08:00-09:30(E.3.328)</v>
      </c>
      <c r="Z3">
        <f>+VLOOKUP(A3,'[1]Tárgy kurzusai'!$A:$F,6,0)</f>
        <v>1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60</v>
      </c>
      <c r="AN3">
        <v>6</v>
      </c>
      <c r="AO3">
        <v>33</v>
      </c>
      <c r="AP3">
        <v>5</v>
      </c>
      <c r="AQ3">
        <v>13</v>
      </c>
      <c r="AR3" t="s">
        <v>55</v>
      </c>
      <c r="AS3" t="s">
        <v>61</v>
      </c>
      <c r="AT3" t="s">
        <v>56</v>
      </c>
      <c r="AU3" t="s">
        <v>62</v>
      </c>
      <c r="AV3" t="s">
        <v>63</v>
      </c>
      <c r="AW3" t="s">
        <v>60</v>
      </c>
      <c r="AX3" t="s">
        <v>60</v>
      </c>
      <c r="AY3">
        <v>3</v>
      </c>
      <c r="AZ3" t="s">
        <v>64</v>
      </c>
      <c r="BA3">
        <v>5</v>
      </c>
      <c r="BB3">
        <v>8</v>
      </c>
      <c r="BC3" t="s">
        <v>65</v>
      </c>
    </row>
    <row r="4" spans="1:55" x14ac:dyDescent="0.2">
      <c r="A4" s="2" t="s">
        <v>2</v>
      </c>
      <c r="B4" s="2" t="s">
        <v>3</v>
      </c>
      <c r="C4" s="3">
        <v>-7</v>
      </c>
      <c r="D4" s="3">
        <v>-8</v>
      </c>
      <c r="E4" s="3">
        <v>-1.5</v>
      </c>
      <c r="F4" s="3">
        <v>-6</v>
      </c>
      <c r="G4" s="3">
        <v>-12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0.67</v>
      </c>
      <c r="P4">
        <v>1</v>
      </c>
      <c r="Q4">
        <v>0.5</v>
      </c>
      <c r="R4">
        <v>1</v>
      </c>
      <c r="S4">
        <v>1</v>
      </c>
      <c r="T4">
        <f t="shared" si="4"/>
        <v>9</v>
      </c>
      <c r="U4">
        <f t="shared" si="5"/>
        <v>8</v>
      </c>
      <c r="V4">
        <f t="shared" si="6"/>
        <v>14.5</v>
      </c>
      <c r="W4">
        <f t="shared" si="7"/>
        <v>10</v>
      </c>
      <c r="X4">
        <f t="shared" si="8"/>
        <v>28</v>
      </c>
      <c r="Y4" t="str">
        <f>+VLOOKUP(A4,'[1]Tárgy kurzusai'!$A:$C,3,0)</f>
        <v>K:08:00-09:30(E.3.328)</v>
      </c>
      <c r="Z4">
        <f>+VLOOKUP(A4,'[1]Tárgy kurzusai'!$A:$F,6,0)</f>
        <v>1</v>
      </c>
      <c r="AA4" t="s">
        <v>66</v>
      </c>
      <c r="AB4" t="s">
        <v>67</v>
      </c>
      <c r="AC4" t="s">
        <v>51</v>
      </c>
      <c r="AD4" t="s">
        <v>68</v>
      </c>
      <c r="AE4" t="s">
        <v>69</v>
      </c>
      <c r="AF4" t="s">
        <v>69</v>
      </c>
      <c r="AG4" t="s">
        <v>55</v>
      </c>
      <c r="AH4" t="s">
        <v>55</v>
      </c>
      <c r="AI4" t="s">
        <v>56</v>
      </c>
      <c r="AJ4" t="s">
        <v>57</v>
      </c>
      <c r="AK4" t="s">
        <v>58</v>
      </c>
      <c r="AL4" t="s">
        <v>59</v>
      </c>
      <c r="AM4" t="s">
        <v>60</v>
      </c>
      <c r="AN4">
        <v>8</v>
      </c>
      <c r="AO4">
        <v>36</v>
      </c>
      <c r="AP4">
        <v>5</v>
      </c>
      <c r="AQ4">
        <v>21</v>
      </c>
      <c r="AR4" t="s">
        <v>55</v>
      </c>
      <c r="AS4" t="s">
        <v>55</v>
      </c>
      <c r="AT4" t="s">
        <v>55</v>
      </c>
      <c r="AU4" t="s">
        <v>62</v>
      </c>
      <c r="AV4" t="s">
        <v>63</v>
      </c>
      <c r="AW4" t="s">
        <v>60</v>
      </c>
      <c r="AX4" t="s">
        <v>60</v>
      </c>
      <c r="AY4">
        <v>5</v>
      </c>
      <c r="AZ4" t="s">
        <v>64</v>
      </c>
      <c r="BA4">
        <v>4</v>
      </c>
      <c r="BB4">
        <v>6</v>
      </c>
      <c r="BC4" t="s">
        <v>70</v>
      </c>
    </row>
    <row r="5" spans="1:55" x14ac:dyDescent="0.2">
      <c r="A5" s="2" t="s">
        <v>2</v>
      </c>
      <c r="B5" s="2" t="s">
        <v>3</v>
      </c>
      <c r="C5" s="3">
        <v>-3</v>
      </c>
      <c r="D5" s="3">
        <v>-1.5</v>
      </c>
      <c r="E5" s="3">
        <v>-3</v>
      </c>
      <c r="F5" s="3">
        <v>-1</v>
      </c>
      <c r="G5" s="3">
        <v>-4.5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0.5</v>
      </c>
      <c r="P5">
        <v>1</v>
      </c>
      <c r="Q5">
        <v>1</v>
      </c>
      <c r="R5">
        <v>1</v>
      </c>
      <c r="S5">
        <v>1</v>
      </c>
      <c r="T5">
        <f t="shared" si="4"/>
        <v>13</v>
      </c>
      <c r="U5">
        <f t="shared" si="5"/>
        <v>14.5</v>
      </c>
      <c r="V5">
        <f t="shared" si="6"/>
        <v>13</v>
      </c>
      <c r="W5">
        <f t="shared" si="7"/>
        <v>15</v>
      </c>
      <c r="X5">
        <f t="shared" si="8"/>
        <v>35.5</v>
      </c>
      <c r="Y5" t="str">
        <f>+VLOOKUP(A5,'[1]Tárgy kurzusai'!$A:$C,3,0)</f>
        <v>K:08:00-09:30(E.3.328)</v>
      </c>
      <c r="Z5">
        <f>+VLOOKUP(A5,'[1]Tárgy kurzusai'!$A:$F,6,0)</f>
        <v>1</v>
      </c>
      <c r="AA5" t="s">
        <v>49</v>
      </c>
      <c r="AB5" t="s">
        <v>71</v>
      </c>
      <c r="AC5" t="s">
        <v>72</v>
      </c>
      <c r="AD5" t="s">
        <v>73</v>
      </c>
      <c r="AE5" t="s">
        <v>69</v>
      </c>
      <c r="AF5" t="s">
        <v>69</v>
      </c>
      <c r="AG5" t="s">
        <v>55</v>
      </c>
      <c r="AH5" t="s">
        <v>55</v>
      </c>
      <c r="AI5" t="s">
        <v>55</v>
      </c>
      <c r="AJ5" t="s">
        <v>57</v>
      </c>
      <c r="AK5" t="s">
        <v>58</v>
      </c>
      <c r="AL5" t="s">
        <v>59</v>
      </c>
      <c r="AM5" t="s">
        <v>60</v>
      </c>
      <c r="AN5">
        <v>8</v>
      </c>
      <c r="AO5">
        <v>36</v>
      </c>
      <c r="AP5">
        <v>5</v>
      </c>
      <c r="AQ5">
        <v>14</v>
      </c>
      <c r="AR5" t="s">
        <v>55</v>
      </c>
      <c r="AS5" t="s">
        <v>55</v>
      </c>
      <c r="AT5" t="s">
        <v>56</v>
      </c>
      <c r="AU5" t="s">
        <v>62</v>
      </c>
      <c r="AV5" t="s">
        <v>63</v>
      </c>
      <c r="AW5" t="s">
        <v>60</v>
      </c>
      <c r="AX5" t="s">
        <v>60</v>
      </c>
      <c r="AY5">
        <v>4</v>
      </c>
      <c r="AZ5" t="s">
        <v>64</v>
      </c>
      <c r="BA5">
        <v>6</v>
      </c>
      <c r="BB5">
        <v>1</v>
      </c>
      <c r="BC5" t="s">
        <v>70</v>
      </c>
    </row>
    <row r="6" spans="1:55" x14ac:dyDescent="0.2">
      <c r="A6" s="2" t="s">
        <v>2</v>
      </c>
      <c r="B6" s="2" t="s">
        <v>3</v>
      </c>
      <c r="C6" s="3">
        <v>-9</v>
      </c>
      <c r="D6" s="3">
        <v>-9</v>
      </c>
      <c r="E6" s="3">
        <v>-2</v>
      </c>
      <c r="F6" s="3">
        <v>-4.5</v>
      </c>
      <c r="G6" s="3">
        <v>-10.5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0.5</v>
      </c>
      <c r="O6">
        <v>1</v>
      </c>
      <c r="P6">
        <v>1</v>
      </c>
      <c r="Q6">
        <v>0</v>
      </c>
      <c r="R6">
        <v>1</v>
      </c>
      <c r="S6">
        <v>1</v>
      </c>
      <c r="T6">
        <f t="shared" si="4"/>
        <v>7</v>
      </c>
      <c r="U6">
        <f t="shared" si="5"/>
        <v>7</v>
      </c>
      <c r="V6">
        <f t="shared" si="6"/>
        <v>14</v>
      </c>
      <c r="W6">
        <f t="shared" si="7"/>
        <v>11.5</v>
      </c>
      <c r="X6">
        <f t="shared" si="8"/>
        <v>29.5</v>
      </c>
      <c r="Y6" t="str">
        <f>+VLOOKUP(A6,'[1]Tárgy kurzusai'!$A:$C,3,0)</f>
        <v>K:08:00-09:30(E.3.328)</v>
      </c>
      <c r="Z6">
        <f>+VLOOKUP(A6,'[1]Tárgy kurzusai'!$A:$F,6,0)</f>
        <v>1</v>
      </c>
      <c r="AA6" t="s">
        <v>49</v>
      </c>
      <c r="AB6" t="s">
        <v>50</v>
      </c>
      <c r="AC6" t="s">
        <v>74</v>
      </c>
      <c r="AD6" t="s">
        <v>60</v>
      </c>
      <c r="AE6" t="s">
        <v>69</v>
      </c>
      <c r="AF6" t="s">
        <v>69</v>
      </c>
      <c r="AG6" t="s">
        <v>55</v>
      </c>
      <c r="AH6" t="s">
        <v>55</v>
      </c>
      <c r="AI6" t="s">
        <v>56</v>
      </c>
      <c r="AJ6" t="s">
        <v>57</v>
      </c>
      <c r="AK6" t="s">
        <v>58</v>
      </c>
      <c r="AL6" t="s">
        <v>59</v>
      </c>
      <c r="AM6" t="s">
        <v>60</v>
      </c>
      <c r="AN6">
        <v>7</v>
      </c>
      <c r="AO6">
        <v>33</v>
      </c>
      <c r="AP6">
        <v>5</v>
      </c>
      <c r="AQ6">
        <v>14</v>
      </c>
      <c r="AR6" t="s">
        <v>55</v>
      </c>
      <c r="AS6" t="s">
        <v>61</v>
      </c>
      <c r="AT6" t="s">
        <v>56</v>
      </c>
      <c r="AU6" t="s">
        <v>62</v>
      </c>
      <c r="AV6" t="s">
        <v>63</v>
      </c>
      <c r="AW6" t="s">
        <v>60</v>
      </c>
      <c r="AX6" t="s">
        <v>60</v>
      </c>
      <c r="AY6">
        <v>3</v>
      </c>
      <c r="AZ6" t="s">
        <v>64</v>
      </c>
      <c r="BA6">
        <v>7</v>
      </c>
      <c r="BB6">
        <v>4</v>
      </c>
      <c r="BC6" t="s">
        <v>70</v>
      </c>
    </row>
    <row r="7" spans="1:55" x14ac:dyDescent="0.2">
      <c r="A7" s="2" t="s">
        <v>2</v>
      </c>
      <c r="B7" s="2" t="s">
        <v>3</v>
      </c>
      <c r="C7" s="3">
        <v>-5</v>
      </c>
      <c r="D7" s="3">
        <v>-1</v>
      </c>
      <c r="E7" s="3">
        <v>-4</v>
      </c>
      <c r="F7" s="3">
        <v>-6</v>
      </c>
      <c r="G7" s="3">
        <v>-9</v>
      </c>
      <c r="H7">
        <v>0.75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0.75</v>
      </c>
      <c r="R7">
        <v>1</v>
      </c>
      <c r="S7">
        <v>1</v>
      </c>
      <c r="T7">
        <f t="shared" si="4"/>
        <v>11</v>
      </c>
      <c r="U7">
        <f t="shared" si="5"/>
        <v>15</v>
      </c>
      <c r="V7">
        <f t="shared" si="6"/>
        <v>12</v>
      </c>
      <c r="W7">
        <f t="shared" si="7"/>
        <v>10</v>
      </c>
      <c r="X7">
        <f t="shared" si="8"/>
        <v>31</v>
      </c>
      <c r="Y7" t="str">
        <f>+VLOOKUP(A7,'[1]Tárgy kurzusai'!$A:$C,3,0)</f>
        <v>K:08:00-09:30(E.3.328)</v>
      </c>
      <c r="Z7">
        <f>+VLOOKUP(A7,'[1]Tárgy kurzusai'!$A:$F,6,0)</f>
        <v>1</v>
      </c>
      <c r="AA7" t="s">
        <v>49</v>
      </c>
      <c r="AB7" t="s">
        <v>71</v>
      </c>
      <c r="AC7" t="s">
        <v>75</v>
      </c>
      <c r="AD7" t="s">
        <v>68</v>
      </c>
      <c r="AE7" t="s">
        <v>69</v>
      </c>
      <c r="AF7" t="s">
        <v>53</v>
      </c>
      <c r="AG7" t="s">
        <v>55</v>
      </c>
      <c r="AH7" t="s">
        <v>55</v>
      </c>
      <c r="AI7" t="s">
        <v>56</v>
      </c>
      <c r="AJ7" t="s">
        <v>57</v>
      </c>
      <c r="AK7" t="s">
        <v>58</v>
      </c>
      <c r="AL7" t="s">
        <v>59</v>
      </c>
      <c r="AM7" t="s">
        <v>60</v>
      </c>
      <c r="AN7">
        <v>6</v>
      </c>
      <c r="AO7">
        <v>33</v>
      </c>
      <c r="AP7">
        <v>5</v>
      </c>
      <c r="AQ7">
        <v>13</v>
      </c>
      <c r="AR7" t="s">
        <v>55</v>
      </c>
      <c r="AS7" t="s">
        <v>55</v>
      </c>
      <c r="AT7" t="s">
        <v>56</v>
      </c>
      <c r="AU7" t="s">
        <v>62</v>
      </c>
      <c r="AV7" t="s">
        <v>63</v>
      </c>
      <c r="AW7" t="s">
        <v>60</v>
      </c>
      <c r="AX7" t="s">
        <v>60</v>
      </c>
      <c r="AY7">
        <v>2</v>
      </c>
      <c r="AZ7" t="s">
        <v>64</v>
      </c>
      <c r="BA7">
        <v>4</v>
      </c>
      <c r="BB7">
        <v>6</v>
      </c>
      <c r="BC7" t="s">
        <v>76</v>
      </c>
    </row>
    <row r="8" spans="1:55" x14ac:dyDescent="0.2">
      <c r="A8" s="2" t="s">
        <v>2</v>
      </c>
      <c r="B8" s="2" t="s">
        <v>3</v>
      </c>
      <c r="C8" s="3">
        <v>-1</v>
      </c>
      <c r="D8" s="3">
        <v>0</v>
      </c>
      <c r="E8" s="3">
        <v>-0.5</v>
      </c>
      <c r="F8" s="3">
        <v>0</v>
      </c>
      <c r="G8" s="3">
        <v>-9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0.75</v>
      </c>
      <c r="R8">
        <v>1</v>
      </c>
      <c r="S8">
        <v>1</v>
      </c>
      <c r="T8">
        <f t="shared" si="4"/>
        <v>15</v>
      </c>
      <c r="U8">
        <f t="shared" si="5"/>
        <v>16</v>
      </c>
      <c r="V8">
        <f t="shared" si="6"/>
        <v>15.5</v>
      </c>
      <c r="W8">
        <f t="shared" si="7"/>
        <v>16</v>
      </c>
      <c r="X8">
        <f t="shared" si="8"/>
        <v>31</v>
      </c>
      <c r="Y8" t="str">
        <f>+VLOOKUP(A8,'[1]Tárgy kurzusai'!$A:$C,3,0)</f>
        <v>K:08:00-09:30(E.3.328)</v>
      </c>
      <c r="Z8">
        <f>+VLOOKUP(A8,'[1]Tárgy kurzusai'!$A:$F,6,0)</f>
        <v>1</v>
      </c>
      <c r="AA8" t="s">
        <v>49</v>
      </c>
      <c r="AB8" t="s">
        <v>71</v>
      </c>
      <c r="AC8" t="s">
        <v>51</v>
      </c>
      <c r="AD8" t="s">
        <v>77</v>
      </c>
      <c r="AE8" t="s">
        <v>69</v>
      </c>
      <c r="AF8" t="s">
        <v>53</v>
      </c>
      <c r="AG8" t="s">
        <v>55</v>
      </c>
      <c r="AH8" t="s">
        <v>55</v>
      </c>
      <c r="AI8" t="s">
        <v>56</v>
      </c>
      <c r="AJ8" t="s">
        <v>57</v>
      </c>
      <c r="AK8" t="s">
        <v>58</v>
      </c>
      <c r="AL8" t="s">
        <v>59</v>
      </c>
      <c r="AM8" t="s">
        <v>60</v>
      </c>
      <c r="AN8">
        <v>7</v>
      </c>
      <c r="AO8">
        <v>33</v>
      </c>
      <c r="AP8">
        <v>5</v>
      </c>
      <c r="AQ8">
        <v>13</v>
      </c>
      <c r="AR8" t="s">
        <v>55</v>
      </c>
      <c r="AS8" t="s">
        <v>55</v>
      </c>
      <c r="AT8" t="s">
        <v>55</v>
      </c>
      <c r="AU8" t="s">
        <v>62</v>
      </c>
      <c r="AV8" t="s">
        <v>63</v>
      </c>
      <c r="AW8" t="s">
        <v>60</v>
      </c>
      <c r="AX8" t="s">
        <v>60</v>
      </c>
      <c r="AY8">
        <v>4</v>
      </c>
      <c r="AZ8" t="s">
        <v>64</v>
      </c>
      <c r="BA8">
        <v>5</v>
      </c>
      <c r="BB8">
        <v>8</v>
      </c>
      <c r="BC8" t="s">
        <v>70</v>
      </c>
    </row>
    <row r="9" spans="1:55" x14ac:dyDescent="0.2">
      <c r="A9" s="2" t="s">
        <v>2</v>
      </c>
      <c r="B9" s="2" t="s">
        <v>3</v>
      </c>
      <c r="C9" s="3">
        <v>-11</v>
      </c>
      <c r="D9" s="3">
        <v>-12</v>
      </c>
      <c r="E9" s="3">
        <v>-10</v>
      </c>
      <c r="F9" s="3">
        <v>-6.5</v>
      </c>
      <c r="G9" s="3">
        <v>-21</v>
      </c>
      <c r="H9">
        <v>1</v>
      </c>
      <c r="I9">
        <v>1</v>
      </c>
      <c r="J9">
        <v>1</v>
      </c>
      <c r="K9">
        <v>1</v>
      </c>
      <c r="L9">
        <v>0</v>
      </c>
      <c r="M9">
        <v>0.5</v>
      </c>
      <c r="N9">
        <v>1</v>
      </c>
      <c r="O9">
        <v>1</v>
      </c>
      <c r="P9">
        <v>1</v>
      </c>
      <c r="Q9">
        <v>0.5</v>
      </c>
      <c r="R9">
        <v>1</v>
      </c>
      <c r="S9">
        <v>1</v>
      </c>
      <c r="T9">
        <f t="shared" si="4"/>
        <v>5</v>
      </c>
      <c r="U9">
        <f t="shared" si="5"/>
        <v>4</v>
      </c>
      <c r="V9">
        <f t="shared" si="6"/>
        <v>6</v>
      </c>
      <c r="W9">
        <f t="shared" si="7"/>
        <v>9.5</v>
      </c>
      <c r="X9">
        <f t="shared" si="8"/>
        <v>19</v>
      </c>
      <c r="Y9" t="str">
        <f>+VLOOKUP(A9,'[1]Tárgy kurzusai'!$A:$C,3,0)</f>
        <v>K:08:00-09:30(E.3.328)</v>
      </c>
      <c r="Z9">
        <f>+VLOOKUP(A9,'[1]Tárgy kurzusai'!$A:$F,6,0)</f>
        <v>1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</row>
    <row r="10" spans="1:55" x14ac:dyDescent="0.2">
      <c r="A10" s="2" t="s">
        <v>2</v>
      </c>
      <c r="B10" s="2" t="s">
        <v>3</v>
      </c>
      <c r="C10" s="3">
        <v>-12</v>
      </c>
      <c r="D10" s="3">
        <v>-3</v>
      </c>
      <c r="E10" s="3">
        <v>-5.5</v>
      </c>
      <c r="F10" s="3">
        <v>-1</v>
      </c>
      <c r="G10" s="3">
        <v>-8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0.5</v>
      </c>
      <c r="R10">
        <v>1</v>
      </c>
      <c r="S10">
        <v>1</v>
      </c>
      <c r="T10">
        <f t="shared" si="4"/>
        <v>4</v>
      </c>
      <c r="U10">
        <f t="shared" si="5"/>
        <v>13</v>
      </c>
      <c r="V10">
        <f t="shared" si="6"/>
        <v>10.5</v>
      </c>
      <c r="W10">
        <f t="shared" si="7"/>
        <v>15</v>
      </c>
      <c r="X10">
        <f t="shared" si="8"/>
        <v>32</v>
      </c>
      <c r="Y10" t="str">
        <f>+VLOOKUP(A10,'[1]Tárgy kurzusai'!$A:$C,3,0)</f>
        <v>K:08:00-09:30(E.3.328)</v>
      </c>
      <c r="Z10">
        <f>+VLOOKUP(A10,'[1]Tárgy kurzusai'!$A:$F,6,0)</f>
        <v>1</v>
      </c>
      <c r="AA10" t="s">
        <v>49</v>
      </c>
      <c r="AB10" t="s">
        <v>71</v>
      </c>
      <c r="AC10" t="s">
        <v>74</v>
      </c>
      <c r="AD10" t="s">
        <v>60</v>
      </c>
      <c r="AE10" t="s">
        <v>69</v>
      </c>
      <c r="AF10" t="s">
        <v>53</v>
      </c>
      <c r="AG10" t="s">
        <v>55</v>
      </c>
      <c r="AH10" t="s">
        <v>55</v>
      </c>
      <c r="AI10" t="s">
        <v>55</v>
      </c>
      <c r="AJ10" t="s">
        <v>57</v>
      </c>
      <c r="AK10" t="s">
        <v>58</v>
      </c>
      <c r="AL10" t="s">
        <v>59</v>
      </c>
      <c r="AM10" t="s">
        <v>60</v>
      </c>
      <c r="AN10">
        <v>7</v>
      </c>
      <c r="AO10">
        <v>33</v>
      </c>
      <c r="AP10">
        <v>5</v>
      </c>
      <c r="AQ10">
        <v>14</v>
      </c>
      <c r="AR10" t="s">
        <v>55</v>
      </c>
      <c r="AS10" t="s">
        <v>55</v>
      </c>
      <c r="AT10" t="s">
        <v>55</v>
      </c>
      <c r="AU10" t="s">
        <v>62</v>
      </c>
      <c r="AV10" t="s">
        <v>63</v>
      </c>
      <c r="AW10" t="s">
        <v>60</v>
      </c>
      <c r="AX10" t="s">
        <v>60</v>
      </c>
      <c r="AY10">
        <v>3</v>
      </c>
      <c r="AZ10" t="s">
        <v>78</v>
      </c>
      <c r="BA10">
        <v>3</v>
      </c>
      <c r="BB10">
        <v>3</v>
      </c>
      <c r="BC10" t="s">
        <v>70</v>
      </c>
    </row>
    <row r="11" spans="1:55" x14ac:dyDescent="0.2">
      <c r="A11" s="2" t="s">
        <v>2</v>
      </c>
      <c r="B11" s="2" t="s">
        <v>3</v>
      </c>
      <c r="C11" s="3">
        <v>-1</v>
      </c>
      <c r="D11" s="3">
        <v>-2</v>
      </c>
      <c r="E11" s="3">
        <v>0</v>
      </c>
      <c r="F11" s="3">
        <v>-0.5</v>
      </c>
      <c r="G11" s="3">
        <v>-7.5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f t="shared" si="4"/>
        <v>15</v>
      </c>
      <c r="U11">
        <f t="shared" si="5"/>
        <v>14</v>
      </c>
      <c r="V11">
        <f t="shared" si="6"/>
        <v>16</v>
      </c>
      <c r="W11">
        <f t="shared" si="7"/>
        <v>15.5</v>
      </c>
      <c r="X11">
        <f t="shared" si="8"/>
        <v>32.5</v>
      </c>
      <c r="Y11" t="str">
        <f>+VLOOKUP(A11,'[1]Tárgy kurzusai'!$A:$C,3,0)</f>
        <v>K:08:00-09:30(E.3.328)</v>
      </c>
      <c r="Z11">
        <f>+VLOOKUP(A11,'[1]Tárgy kurzusai'!$A:$F,6,0)</f>
        <v>1</v>
      </c>
      <c r="AA11" t="s">
        <v>49</v>
      </c>
      <c r="AB11" t="s">
        <v>71</v>
      </c>
      <c r="AC11" t="s">
        <v>75</v>
      </c>
      <c r="AD11" t="s">
        <v>68</v>
      </c>
      <c r="AE11" t="s">
        <v>53</v>
      </c>
      <c r="AF11" t="s">
        <v>69</v>
      </c>
      <c r="AG11" t="s">
        <v>55</v>
      </c>
      <c r="AH11" t="s">
        <v>55</v>
      </c>
      <c r="AI11" t="s">
        <v>55</v>
      </c>
      <c r="AJ11" t="s">
        <v>57</v>
      </c>
      <c r="AK11" t="s">
        <v>79</v>
      </c>
      <c r="AL11" t="s">
        <v>59</v>
      </c>
      <c r="AM11" t="s">
        <v>60</v>
      </c>
      <c r="AN11">
        <v>6</v>
      </c>
      <c r="AO11">
        <v>33</v>
      </c>
      <c r="AP11">
        <v>5</v>
      </c>
      <c r="AQ11">
        <v>5</v>
      </c>
      <c r="AR11" t="s">
        <v>55</v>
      </c>
      <c r="AS11" t="s">
        <v>55</v>
      </c>
      <c r="AT11" t="s">
        <v>55</v>
      </c>
      <c r="AU11" t="s">
        <v>62</v>
      </c>
      <c r="AV11" t="s">
        <v>63</v>
      </c>
      <c r="AW11" t="s">
        <v>60</v>
      </c>
      <c r="AX11" t="s">
        <v>60</v>
      </c>
      <c r="AY11">
        <v>3</v>
      </c>
      <c r="AZ11" t="s">
        <v>64</v>
      </c>
      <c r="BA11">
        <v>2</v>
      </c>
      <c r="BB11">
        <v>5</v>
      </c>
      <c r="BC11" t="s">
        <v>76</v>
      </c>
    </row>
    <row r="12" spans="1:55" x14ac:dyDescent="0.2">
      <c r="A12" s="2" t="s">
        <v>2</v>
      </c>
      <c r="B12" s="2" t="s">
        <v>3</v>
      </c>
      <c r="C12" s="3">
        <v>-6</v>
      </c>
      <c r="D12" s="3">
        <v>-5.5</v>
      </c>
      <c r="E12" s="3">
        <v>-8</v>
      </c>
      <c r="F12" s="3">
        <v>-6</v>
      </c>
      <c r="G12" s="3">
        <v>-13.5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0.5</v>
      </c>
      <c r="R12">
        <v>1</v>
      </c>
      <c r="S12">
        <v>1</v>
      </c>
      <c r="T12">
        <f t="shared" si="4"/>
        <v>10</v>
      </c>
      <c r="U12">
        <f t="shared" si="5"/>
        <v>10.5</v>
      </c>
      <c r="V12">
        <f t="shared" si="6"/>
        <v>8</v>
      </c>
      <c r="W12">
        <f t="shared" si="7"/>
        <v>10</v>
      </c>
      <c r="X12">
        <f t="shared" si="8"/>
        <v>26.5</v>
      </c>
      <c r="Y12" t="str">
        <f>+VLOOKUP(A12,'[1]Tárgy kurzusai'!$A:$C,3,0)</f>
        <v>K:08:00-09:30(E.3.328)</v>
      </c>
      <c r="Z12">
        <f>+VLOOKUP(A12,'[1]Tárgy kurzusai'!$A:$F,6,0)</f>
        <v>1</v>
      </c>
      <c r="AA12" t="s">
        <v>49</v>
      </c>
      <c r="AB12" t="s">
        <v>80</v>
      </c>
      <c r="AC12" t="s">
        <v>51</v>
      </c>
      <c r="AD12" t="s">
        <v>81</v>
      </c>
      <c r="AE12" t="s">
        <v>69</v>
      </c>
      <c r="AF12" t="s">
        <v>69</v>
      </c>
      <c r="AG12" t="s">
        <v>55</v>
      </c>
      <c r="AH12" t="s">
        <v>55</v>
      </c>
      <c r="AI12" t="s">
        <v>55</v>
      </c>
      <c r="AJ12" t="s">
        <v>57</v>
      </c>
      <c r="AK12" t="s">
        <v>58</v>
      </c>
      <c r="AL12" t="s">
        <v>59</v>
      </c>
      <c r="AM12" t="s">
        <v>60</v>
      </c>
      <c r="AN12">
        <v>8</v>
      </c>
      <c r="AO12">
        <v>40</v>
      </c>
      <c r="AP12">
        <v>5</v>
      </c>
      <c r="AQ12">
        <v>5</v>
      </c>
      <c r="AR12" t="s">
        <v>55</v>
      </c>
      <c r="AS12" t="s">
        <v>55</v>
      </c>
      <c r="AT12" t="s">
        <v>56</v>
      </c>
      <c r="AU12" t="s">
        <v>62</v>
      </c>
      <c r="AV12" t="s">
        <v>63</v>
      </c>
      <c r="AW12" t="s">
        <v>60</v>
      </c>
      <c r="AX12" t="s">
        <v>60</v>
      </c>
      <c r="AY12">
        <v>5</v>
      </c>
      <c r="AZ12" t="s">
        <v>64</v>
      </c>
      <c r="BA12">
        <v>8</v>
      </c>
      <c r="BB12">
        <v>7</v>
      </c>
      <c r="BC12" t="s">
        <v>82</v>
      </c>
    </row>
    <row r="13" spans="1:55" x14ac:dyDescent="0.2">
      <c r="A13" s="2" t="s">
        <v>2</v>
      </c>
      <c r="B13" s="2" t="s">
        <v>3</v>
      </c>
      <c r="C13" s="3">
        <v>-6</v>
      </c>
      <c r="D13" s="3">
        <v>-6.5</v>
      </c>
      <c r="E13" s="3">
        <v>-2</v>
      </c>
      <c r="F13" s="3">
        <v>-4</v>
      </c>
      <c r="G13" s="3">
        <v>-4.5</v>
      </c>
      <c r="H13">
        <v>1</v>
      </c>
      <c r="I13">
        <v>1</v>
      </c>
      <c r="J13">
        <v>1</v>
      </c>
      <c r="K13">
        <v>1</v>
      </c>
      <c r="L13">
        <v>1</v>
      </c>
      <c r="M13">
        <v>0.75</v>
      </c>
      <c r="N13">
        <v>1</v>
      </c>
      <c r="O13">
        <v>1</v>
      </c>
      <c r="P13">
        <v>1</v>
      </c>
      <c r="Q13">
        <v>0.25</v>
      </c>
      <c r="R13">
        <v>1</v>
      </c>
      <c r="S13">
        <v>1</v>
      </c>
      <c r="T13">
        <f t="shared" si="4"/>
        <v>10</v>
      </c>
      <c r="U13">
        <f t="shared" si="5"/>
        <v>9.5</v>
      </c>
      <c r="V13">
        <f t="shared" si="6"/>
        <v>14</v>
      </c>
      <c r="W13">
        <f t="shared" si="7"/>
        <v>12</v>
      </c>
      <c r="X13">
        <f t="shared" si="8"/>
        <v>35.5</v>
      </c>
      <c r="Y13" t="str">
        <f>+VLOOKUP(A13,'[1]Tárgy kurzusai'!$A:$C,3,0)</f>
        <v>K:08:00-09:30(E.3.328)</v>
      </c>
      <c r="Z13">
        <f>+VLOOKUP(A13,'[1]Tárgy kurzusai'!$A:$F,6,0)</f>
        <v>1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</row>
    <row r="14" spans="1:55" x14ac:dyDescent="0.2">
      <c r="A14" s="2" t="s">
        <v>2</v>
      </c>
      <c r="B14" s="2" t="s">
        <v>3</v>
      </c>
      <c r="C14" s="3">
        <v>-3</v>
      </c>
      <c r="D14" s="3">
        <v>-2</v>
      </c>
      <c r="E14" s="3">
        <v>-3</v>
      </c>
      <c r="F14" s="3">
        <v>-1</v>
      </c>
      <c r="G14" s="3">
        <v>-3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0.5</v>
      </c>
      <c r="R14">
        <v>1</v>
      </c>
      <c r="S14">
        <v>1</v>
      </c>
      <c r="T14">
        <f t="shared" si="4"/>
        <v>13</v>
      </c>
      <c r="U14">
        <f t="shared" si="5"/>
        <v>14</v>
      </c>
      <c r="V14">
        <f t="shared" si="6"/>
        <v>13</v>
      </c>
      <c r="W14">
        <f t="shared" si="7"/>
        <v>15</v>
      </c>
      <c r="X14">
        <f t="shared" si="8"/>
        <v>37</v>
      </c>
      <c r="Y14" t="str">
        <f>+VLOOKUP(A14,'[1]Tárgy kurzusai'!$A:$C,3,0)</f>
        <v>K:08:00-09:30(E.3.328)</v>
      </c>
      <c r="Z14">
        <f>+VLOOKUP(A14,'[1]Tárgy kurzusai'!$A:$F,6,0)</f>
        <v>1</v>
      </c>
      <c r="AA14" t="s">
        <v>49</v>
      </c>
      <c r="AB14" t="s">
        <v>71</v>
      </c>
      <c r="AC14" t="s">
        <v>75</v>
      </c>
      <c r="AD14" t="s">
        <v>83</v>
      </c>
      <c r="AE14" t="s">
        <v>69</v>
      </c>
      <c r="AF14" t="s">
        <v>69</v>
      </c>
      <c r="AG14" t="s">
        <v>56</v>
      </c>
      <c r="AH14" t="s">
        <v>56</v>
      </c>
      <c r="AI14" t="s">
        <v>55</v>
      </c>
      <c r="AJ14" t="s">
        <v>57</v>
      </c>
      <c r="AK14" t="s">
        <v>58</v>
      </c>
      <c r="AL14" t="s">
        <v>59</v>
      </c>
      <c r="AM14" t="s">
        <v>60</v>
      </c>
      <c r="AN14">
        <v>6</v>
      </c>
      <c r="AO14">
        <v>30</v>
      </c>
      <c r="AP14">
        <v>5</v>
      </c>
      <c r="AQ14">
        <v>5</v>
      </c>
      <c r="AR14" t="s">
        <v>55</v>
      </c>
      <c r="AS14" t="s">
        <v>55</v>
      </c>
      <c r="AT14" t="s">
        <v>56</v>
      </c>
      <c r="AU14" t="s">
        <v>62</v>
      </c>
      <c r="AV14" t="s">
        <v>63</v>
      </c>
      <c r="AW14" t="s">
        <v>60</v>
      </c>
      <c r="AX14" t="s">
        <v>60</v>
      </c>
      <c r="AY14">
        <v>3</v>
      </c>
      <c r="AZ14" t="s">
        <v>78</v>
      </c>
      <c r="BA14">
        <v>6</v>
      </c>
      <c r="BB14">
        <v>8</v>
      </c>
      <c r="BC14" t="s">
        <v>65</v>
      </c>
    </row>
    <row r="15" spans="1:55" x14ac:dyDescent="0.2">
      <c r="A15" s="2" t="s">
        <v>2</v>
      </c>
      <c r="B15" s="2" t="s">
        <v>3</v>
      </c>
      <c r="C15" s="3">
        <v>-7</v>
      </c>
      <c r="D15" s="3">
        <v>-9</v>
      </c>
      <c r="E15" s="3">
        <v>-5.5</v>
      </c>
      <c r="F15" s="3">
        <v>-8.5</v>
      </c>
      <c r="G15" s="3">
        <v>-15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0.5</v>
      </c>
      <c r="R15">
        <v>1</v>
      </c>
      <c r="S15">
        <v>1</v>
      </c>
      <c r="T15">
        <f t="shared" si="4"/>
        <v>9</v>
      </c>
      <c r="U15">
        <f t="shared" si="5"/>
        <v>7</v>
      </c>
      <c r="V15">
        <f t="shared" si="6"/>
        <v>10.5</v>
      </c>
      <c r="W15">
        <f t="shared" si="7"/>
        <v>7.5</v>
      </c>
      <c r="X15">
        <f t="shared" si="8"/>
        <v>25</v>
      </c>
      <c r="Y15" t="str">
        <f>+VLOOKUP(A15,'[1]Tárgy kurzusai'!$A:$C,3,0)</f>
        <v>K:08:00-09:30(E.3.328)</v>
      </c>
      <c r="Z15">
        <f>+VLOOKUP(A15,'[1]Tárgy kurzusai'!$A:$F,6,0)</f>
        <v>1</v>
      </c>
      <c r="AA15" t="s">
        <v>66</v>
      </c>
      <c r="AB15" t="s">
        <v>71</v>
      </c>
      <c r="AC15" t="s">
        <v>74</v>
      </c>
      <c r="AD15" t="s">
        <v>60</v>
      </c>
      <c r="AE15" t="s">
        <v>69</v>
      </c>
      <c r="AF15" t="s">
        <v>69</v>
      </c>
      <c r="AG15" t="s">
        <v>55</v>
      </c>
      <c r="AH15" t="s">
        <v>55</v>
      </c>
      <c r="AI15" t="s">
        <v>56</v>
      </c>
      <c r="AJ15" t="s">
        <v>57</v>
      </c>
      <c r="AK15" t="s">
        <v>58</v>
      </c>
      <c r="AL15" t="s">
        <v>59</v>
      </c>
      <c r="AM15" t="s">
        <v>60</v>
      </c>
      <c r="AN15">
        <v>7</v>
      </c>
      <c r="AO15">
        <v>34</v>
      </c>
      <c r="AP15">
        <v>5</v>
      </c>
      <c r="AQ15">
        <v>13</v>
      </c>
      <c r="AR15" t="s">
        <v>55</v>
      </c>
      <c r="AS15" t="s">
        <v>55</v>
      </c>
      <c r="AT15" t="s">
        <v>55</v>
      </c>
      <c r="AU15" t="s">
        <v>62</v>
      </c>
      <c r="AV15" t="s">
        <v>63</v>
      </c>
      <c r="AW15" t="s">
        <v>60</v>
      </c>
      <c r="AX15" t="s">
        <v>60</v>
      </c>
      <c r="AY15">
        <v>4</v>
      </c>
      <c r="AZ15" t="s">
        <v>64</v>
      </c>
      <c r="BA15">
        <v>6</v>
      </c>
      <c r="BB15">
        <v>8</v>
      </c>
      <c r="BC15" t="s">
        <v>70</v>
      </c>
    </row>
    <row r="16" spans="1:55" x14ac:dyDescent="0.2">
      <c r="A16" s="2" t="s">
        <v>2</v>
      </c>
      <c r="B16" s="2" t="s">
        <v>3</v>
      </c>
      <c r="C16" s="3">
        <v>-4</v>
      </c>
      <c r="D16" s="3">
        <v>-1.5</v>
      </c>
      <c r="E16" s="3">
        <v>-2.5</v>
      </c>
      <c r="F16" s="3">
        <v>-3.5</v>
      </c>
      <c r="G16" s="3">
        <v>-6</v>
      </c>
      <c r="H16">
        <v>1</v>
      </c>
      <c r="I16">
        <v>1</v>
      </c>
      <c r="J16">
        <v>1</v>
      </c>
      <c r="K16">
        <v>1</v>
      </c>
      <c r="L16">
        <v>1</v>
      </c>
      <c r="M16">
        <v>0.75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f t="shared" si="4"/>
        <v>12</v>
      </c>
      <c r="U16">
        <f t="shared" si="5"/>
        <v>14.5</v>
      </c>
      <c r="V16">
        <f t="shared" si="6"/>
        <v>13.5</v>
      </c>
      <c r="W16">
        <f t="shared" si="7"/>
        <v>12.5</v>
      </c>
      <c r="X16">
        <f t="shared" si="8"/>
        <v>34</v>
      </c>
      <c r="Y16" t="str">
        <f>+VLOOKUP(A16,'[1]Tárgy kurzusai'!$A:$C,3,0)</f>
        <v>K:08:00-09:30(E.3.328)</v>
      </c>
      <c r="Z16">
        <f>+VLOOKUP(A16,'[1]Tárgy kurzusai'!$A:$F,6,0)</f>
        <v>1</v>
      </c>
      <c r="AA16" t="s">
        <v>66</v>
      </c>
      <c r="AB16" t="s">
        <v>50</v>
      </c>
      <c r="AC16" t="s">
        <v>74</v>
      </c>
      <c r="AD16" t="s">
        <v>60</v>
      </c>
      <c r="AE16" t="s">
        <v>69</v>
      </c>
      <c r="AF16" t="s">
        <v>69</v>
      </c>
      <c r="AG16" t="s">
        <v>55</v>
      </c>
      <c r="AH16" t="s">
        <v>55</v>
      </c>
      <c r="AI16" t="s">
        <v>55</v>
      </c>
      <c r="AJ16" t="s">
        <v>57</v>
      </c>
      <c r="AK16" t="s">
        <v>58</v>
      </c>
      <c r="AL16" t="s">
        <v>59</v>
      </c>
      <c r="AM16" t="s">
        <v>60</v>
      </c>
      <c r="AN16">
        <v>9</v>
      </c>
      <c r="AO16">
        <v>41</v>
      </c>
      <c r="AP16">
        <v>11</v>
      </c>
      <c r="AQ16">
        <v>15</v>
      </c>
      <c r="AR16" t="s">
        <v>55</v>
      </c>
      <c r="AS16" t="s">
        <v>55</v>
      </c>
      <c r="AT16" t="s">
        <v>56</v>
      </c>
      <c r="AU16" t="s">
        <v>62</v>
      </c>
      <c r="AV16" t="s">
        <v>63</v>
      </c>
      <c r="AW16" t="s">
        <v>60</v>
      </c>
      <c r="AX16" t="s">
        <v>60</v>
      </c>
      <c r="AY16">
        <v>4</v>
      </c>
      <c r="AZ16" t="s">
        <v>64</v>
      </c>
      <c r="BA16">
        <v>6</v>
      </c>
      <c r="BB16">
        <v>8</v>
      </c>
      <c r="BC16" t="s">
        <v>76</v>
      </c>
    </row>
    <row r="17" spans="1:55" x14ac:dyDescent="0.2">
      <c r="A17" s="2" t="s">
        <v>2</v>
      </c>
      <c r="B17" s="2" t="s">
        <v>3</v>
      </c>
      <c r="C17" s="3">
        <v>-3</v>
      </c>
      <c r="D17" s="3">
        <v>-6.5</v>
      </c>
      <c r="E17" s="3">
        <v>-6.5</v>
      </c>
      <c r="F17" s="3">
        <v>-6</v>
      </c>
      <c r="G17" s="3">
        <v>-17</v>
      </c>
      <c r="H17">
        <v>0.75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0.5</v>
      </c>
      <c r="R17">
        <v>1</v>
      </c>
      <c r="S17">
        <v>1</v>
      </c>
      <c r="T17">
        <f t="shared" si="4"/>
        <v>13</v>
      </c>
      <c r="U17">
        <f t="shared" si="5"/>
        <v>9.5</v>
      </c>
      <c r="V17">
        <f t="shared" si="6"/>
        <v>9.5</v>
      </c>
      <c r="W17">
        <f t="shared" si="7"/>
        <v>10</v>
      </c>
      <c r="X17">
        <f t="shared" si="8"/>
        <v>23</v>
      </c>
      <c r="Y17" t="str">
        <f>+VLOOKUP(A17,'[1]Tárgy kurzusai'!$A:$C,3,0)</f>
        <v>K:08:00-09:30(E.3.328)</v>
      </c>
      <c r="Z17">
        <f>+VLOOKUP(A17,'[1]Tárgy kurzusai'!$A:$F,6,0)</f>
        <v>1</v>
      </c>
      <c r="AA17" t="s">
        <v>49</v>
      </c>
      <c r="AB17" t="s">
        <v>80</v>
      </c>
      <c r="AC17" t="s">
        <v>75</v>
      </c>
      <c r="AD17" t="s">
        <v>81</v>
      </c>
      <c r="AE17" t="s">
        <v>69</v>
      </c>
      <c r="AF17" t="s">
        <v>53</v>
      </c>
      <c r="AG17" t="s">
        <v>56</v>
      </c>
      <c r="AH17" t="s">
        <v>55</v>
      </c>
      <c r="AI17" t="s">
        <v>55</v>
      </c>
      <c r="AJ17" t="s">
        <v>57</v>
      </c>
      <c r="AK17" t="s">
        <v>58</v>
      </c>
      <c r="AL17" t="s">
        <v>59</v>
      </c>
      <c r="AM17" t="s">
        <v>60</v>
      </c>
      <c r="AN17">
        <v>8</v>
      </c>
      <c r="AO17">
        <v>40</v>
      </c>
      <c r="AP17">
        <v>5</v>
      </c>
      <c r="AQ17">
        <v>5</v>
      </c>
      <c r="AR17" t="s">
        <v>55</v>
      </c>
      <c r="AS17" t="s">
        <v>61</v>
      </c>
      <c r="AT17" t="s">
        <v>56</v>
      </c>
      <c r="AU17" t="s">
        <v>62</v>
      </c>
      <c r="AV17" t="s">
        <v>63</v>
      </c>
      <c r="AW17" t="s">
        <v>60</v>
      </c>
      <c r="AX17" t="s">
        <v>60</v>
      </c>
      <c r="AY17">
        <v>5</v>
      </c>
      <c r="AZ17" t="s">
        <v>64</v>
      </c>
      <c r="BA17">
        <v>7</v>
      </c>
      <c r="BB17">
        <v>5</v>
      </c>
      <c r="BC17" t="s">
        <v>82</v>
      </c>
    </row>
    <row r="18" spans="1:55" x14ac:dyDescent="0.2">
      <c r="A18" s="2" t="s">
        <v>2</v>
      </c>
      <c r="B18" s="2" t="s">
        <v>3</v>
      </c>
      <c r="C18" s="3">
        <v>-4</v>
      </c>
      <c r="D18" s="3">
        <v>-3</v>
      </c>
      <c r="E18" s="3"/>
      <c r="F18" s="3">
        <v>-5</v>
      </c>
      <c r="G18" s="3">
        <v>-7.5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0.5</v>
      </c>
      <c r="P18">
        <v>1</v>
      </c>
      <c r="Q18">
        <v>0.5</v>
      </c>
      <c r="R18">
        <v>1</v>
      </c>
      <c r="S18">
        <v>1</v>
      </c>
      <c r="T18">
        <f t="shared" si="4"/>
        <v>12</v>
      </c>
      <c r="U18">
        <f t="shared" si="5"/>
        <v>13</v>
      </c>
      <c r="V18">
        <f t="shared" si="6"/>
        <v>16</v>
      </c>
      <c r="W18">
        <f t="shared" si="7"/>
        <v>11</v>
      </c>
      <c r="X18">
        <f t="shared" si="8"/>
        <v>32.5</v>
      </c>
      <c r="Y18" t="str">
        <f>+VLOOKUP(A18,'[1]Tárgy kurzusai'!$A:$C,3,0)</f>
        <v>K:08:00-09:30(E.3.328)</v>
      </c>
      <c r="Z18">
        <f>+VLOOKUP(A18,'[1]Tárgy kurzusai'!$A:$F,6,0)</f>
        <v>1</v>
      </c>
      <c r="AA18" t="s">
        <v>66</v>
      </c>
      <c r="AB18" t="s">
        <v>71</v>
      </c>
      <c r="AC18" t="s">
        <v>51</v>
      </c>
      <c r="AD18" t="s">
        <v>84</v>
      </c>
      <c r="AE18" t="s">
        <v>53</v>
      </c>
      <c r="AF18" t="s">
        <v>69</v>
      </c>
      <c r="AG18" t="s">
        <v>55</v>
      </c>
      <c r="AH18" t="s">
        <v>55</v>
      </c>
      <c r="AI18" t="s">
        <v>55</v>
      </c>
      <c r="AJ18" t="s">
        <v>57</v>
      </c>
      <c r="AK18" t="s">
        <v>58</v>
      </c>
      <c r="AL18" t="s">
        <v>59</v>
      </c>
      <c r="AM18" t="s">
        <v>60</v>
      </c>
      <c r="AN18">
        <v>8</v>
      </c>
      <c r="AO18">
        <v>37</v>
      </c>
      <c r="AP18">
        <v>5</v>
      </c>
      <c r="AQ18">
        <v>14</v>
      </c>
      <c r="AR18" t="s">
        <v>55</v>
      </c>
      <c r="AS18" t="s">
        <v>55</v>
      </c>
      <c r="AT18" t="s">
        <v>55</v>
      </c>
      <c r="AU18" t="s">
        <v>62</v>
      </c>
      <c r="AV18" t="s">
        <v>63</v>
      </c>
      <c r="AW18" t="s">
        <v>60</v>
      </c>
      <c r="AX18" t="s">
        <v>60</v>
      </c>
      <c r="AY18">
        <v>4</v>
      </c>
      <c r="AZ18" t="s">
        <v>64</v>
      </c>
      <c r="BA18">
        <v>6</v>
      </c>
      <c r="BB18">
        <v>6</v>
      </c>
      <c r="BC18" t="s">
        <v>70</v>
      </c>
    </row>
    <row r="19" spans="1:55" x14ac:dyDescent="0.2">
      <c r="A19" s="2" t="s">
        <v>2</v>
      </c>
      <c r="B19" s="2" t="s">
        <v>3</v>
      </c>
      <c r="C19" s="3">
        <v>-5</v>
      </c>
      <c r="D19" s="3">
        <v>-4</v>
      </c>
      <c r="E19" s="3">
        <v>-1</v>
      </c>
      <c r="F19" s="3">
        <v>-2</v>
      </c>
      <c r="G19" s="3">
        <v>-7.5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0.33</v>
      </c>
      <c r="P19">
        <v>1</v>
      </c>
      <c r="Q19">
        <v>1</v>
      </c>
      <c r="R19">
        <v>1</v>
      </c>
      <c r="S19">
        <v>1</v>
      </c>
      <c r="T19">
        <f t="shared" si="4"/>
        <v>11</v>
      </c>
      <c r="U19">
        <f t="shared" si="5"/>
        <v>12</v>
      </c>
      <c r="V19">
        <f t="shared" si="6"/>
        <v>15</v>
      </c>
      <c r="W19">
        <f t="shared" si="7"/>
        <v>14</v>
      </c>
      <c r="X19">
        <f t="shared" si="8"/>
        <v>32.5</v>
      </c>
      <c r="Y19" t="str">
        <f>+VLOOKUP(A19,'[1]Tárgy kurzusai'!$A:$C,3,0)</f>
        <v>K:08:00-09:30(E.3.328)</v>
      </c>
      <c r="Z19">
        <f>+VLOOKUP(A19,'[1]Tárgy kurzusai'!$A:$F,6,0)</f>
        <v>1</v>
      </c>
      <c r="AA19" t="s">
        <v>66</v>
      </c>
      <c r="AB19" t="s">
        <v>71</v>
      </c>
      <c r="AC19" t="s">
        <v>51</v>
      </c>
      <c r="AD19" t="s">
        <v>68</v>
      </c>
      <c r="AE19" t="s">
        <v>69</v>
      </c>
      <c r="AF19" t="s">
        <v>69</v>
      </c>
      <c r="AG19" t="s">
        <v>55</v>
      </c>
      <c r="AH19" t="s">
        <v>55</v>
      </c>
      <c r="AI19" t="s">
        <v>56</v>
      </c>
      <c r="AJ19" t="s">
        <v>60</v>
      </c>
      <c r="AK19" t="s">
        <v>58</v>
      </c>
      <c r="AL19" t="s">
        <v>59</v>
      </c>
      <c r="AM19" t="s">
        <v>60</v>
      </c>
      <c r="AN19">
        <v>7</v>
      </c>
      <c r="AO19">
        <v>37</v>
      </c>
      <c r="AP19">
        <v>5</v>
      </c>
      <c r="AQ19">
        <v>3</v>
      </c>
      <c r="AR19" t="s">
        <v>55</v>
      </c>
      <c r="AS19" t="s">
        <v>55</v>
      </c>
      <c r="AT19" t="s">
        <v>56</v>
      </c>
      <c r="AU19" t="s">
        <v>62</v>
      </c>
      <c r="AV19" t="s">
        <v>63</v>
      </c>
      <c r="AW19" t="s">
        <v>60</v>
      </c>
      <c r="AX19" t="s">
        <v>60</v>
      </c>
      <c r="AY19">
        <v>3</v>
      </c>
      <c r="AZ19" t="s">
        <v>64</v>
      </c>
      <c r="BA19">
        <v>7</v>
      </c>
      <c r="BB19">
        <v>7</v>
      </c>
      <c r="BC19" t="s">
        <v>70</v>
      </c>
    </row>
    <row r="20" spans="1:55" x14ac:dyDescent="0.2">
      <c r="A20" s="2" t="s">
        <v>2</v>
      </c>
      <c r="B20" s="2" t="s">
        <v>3</v>
      </c>
      <c r="C20" s="3">
        <v>-5</v>
      </c>
      <c r="D20" s="3">
        <v>-12</v>
      </c>
      <c r="E20" s="3">
        <v>-10.5</v>
      </c>
      <c r="F20" s="3"/>
      <c r="G20" s="3">
        <v>-26</v>
      </c>
      <c r="H20">
        <v>1</v>
      </c>
      <c r="I20">
        <v>1</v>
      </c>
      <c r="J20">
        <v>1</v>
      </c>
      <c r="K20">
        <v>1</v>
      </c>
      <c r="L20">
        <v>1</v>
      </c>
      <c r="M20">
        <v>0.75</v>
      </c>
      <c r="N20">
        <v>0.75</v>
      </c>
      <c r="O20">
        <v>0.33</v>
      </c>
      <c r="P20">
        <v>1</v>
      </c>
      <c r="Q20">
        <v>1</v>
      </c>
      <c r="R20">
        <v>1</v>
      </c>
      <c r="S20">
        <v>1</v>
      </c>
      <c r="T20">
        <f t="shared" si="4"/>
        <v>11</v>
      </c>
      <c r="U20">
        <f t="shared" si="5"/>
        <v>4</v>
      </c>
      <c r="V20">
        <f t="shared" si="6"/>
        <v>5.5</v>
      </c>
      <c r="W20">
        <f t="shared" si="7"/>
        <v>16</v>
      </c>
      <c r="X20">
        <f t="shared" si="8"/>
        <v>14</v>
      </c>
      <c r="Y20" t="str">
        <f>+VLOOKUP(A20,'[1]Tárgy kurzusai'!$A:$C,3,0)</f>
        <v>K:08:00-09:30(E.3.328)</v>
      </c>
      <c r="Z20">
        <f>+VLOOKUP(A20,'[1]Tárgy kurzusai'!$A:$F,6,0)</f>
        <v>1</v>
      </c>
      <c r="AA20" t="s">
        <v>66</v>
      </c>
      <c r="AB20" t="s">
        <v>71</v>
      </c>
      <c r="AC20" t="s">
        <v>51</v>
      </c>
      <c r="AD20" t="s">
        <v>68</v>
      </c>
      <c r="AE20" t="s">
        <v>53</v>
      </c>
      <c r="AF20" t="s">
        <v>69</v>
      </c>
      <c r="AG20" t="s">
        <v>55</v>
      </c>
      <c r="AH20" t="s">
        <v>55</v>
      </c>
      <c r="AI20" t="s">
        <v>55</v>
      </c>
      <c r="AJ20" t="s">
        <v>57</v>
      </c>
      <c r="AK20" t="s">
        <v>79</v>
      </c>
      <c r="AL20" t="s">
        <v>59</v>
      </c>
      <c r="AM20" t="s">
        <v>60</v>
      </c>
      <c r="AN20">
        <v>5</v>
      </c>
      <c r="AO20">
        <v>24</v>
      </c>
      <c r="AP20">
        <v>5</v>
      </c>
      <c r="AQ20">
        <v>11</v>
      </c>
      <c r="AR20" t="s">
        <v>55</v>
      </c>
      <c r="AS20" t="s">
        <v>61</v>
      </c>
      <c r="AT20" t="s">
        <v>55</v>
      </c>
      <c r="AU20" t="s">
        <v>62</v>
      </c>
      <c r="AV20" t="s">
        <v>63</v>
      </c>
      <c r="AW20" t="s">
        <v>60</v>
      </c>
      <c r="AX20" t="s">
        <v>60</v>
      </c>
      <c r="AY20">
        <v>4</v>
      </c>
      <c r="AZ20" t="s">
        <v>64</v>
      </c>
      <c r="BA20">
        <v>9</v>
      </c>
      <c r="BB20">
        <v>6</v>
      </c>
      <c r="BC20" t="s">
        <v>82</v>
      </c>
    </row>
    <row r="21" spans="1:55" x14ac:dyDescent="0.2">
      <c r="A21" s="2" t="s">
        <v>2</v>
      </c>
      <c r="B21" s="2" t="s">
        <v>3</v>
      </c>
      <c r="C21" s="3">
        <v>-10</v>
      </c>
      <c r="D21" s="3">
        <v>-5</v>
      </c>
      <c r="E21" s="3">
        <v>-0.5</v>
      </c>
      <c r="F21" s="3">
        <v>-6</v>
      </c>
      <c r="G21" s="3">
        <v>-12</v>
      </c>
      <c r="H21">
        <v>1</v>
      </c>
      <c r="I21">
        <v>1</v>
      </c>
      <c r="J21">
        <v>1</v>
      </c>
      <c r="K21">
        <v>0.5</v>
      </c>
      <c r="L21">
        <v>1</v>
      </c>
      <c r="M21">
        <v>1</v>
      </c>
      <c r="N21">
        <v>0.75</v>
      </c>
      <c r="O21">
        <v>1</v>
      </c>
      <c r="P21">
        <v>1</v>
      </c>
      <c r="Q21">
        <v>1</v>
      </c>
      <c r="R21">
        <v>1</v>
      </c>
      <c r="S21">
        <v>1</v>
      </c>
      <c r="T21">
        <f t="shared" si="4"/>
        <v>6</v>
      </c>
      <c r="U21">
        <f t="shared" si="5"/>
        <v>11</v>
      </c>
      <c r="V21">
        <f t="shared" si="6"/>
        <v>15.5</v>
      </c>
      <c r="W21">
        <f t="shared" si="7"/>
        <v>10</v>
      </c>
      <c r="X21">
        <f t="shared" si="8"/>
        <v>28</v>
      </c>
      <c r="Y21" t="str">
        <f>+VLOOKUP(A21,'[1]Tárgy kurzusai'!$A:$C,3,0)</f>
        <v>K:08:00-09:30(E.3.328)</v>
      </c>
      <c r="Z21">
        <f>+VLOOKUP(A21,'[1]Tárgy kurzusai'!$A:$F,6,0)</f>
        <v>1</v>
      </c>
      <c r="AA21" t="s">
        <v>66</v>
      </c>
      <c r="AB21" t="s">
        <v>71</v>
      </c>
      <c r="AC21" t="s">
        <v>74</v>
      </c>
      <c r="AD21" t="s">
        <v>60</v>
      </c>
      <c r="AE21" t="s">
        <v>69</v>
      </c>
      <c r="AF21" t="s">
        <v>69</v>
      </c>
      <c r="AG21" t="s">
        <v>55</v>
      </c>
      <c r="AH21" t="s">
        <v>55</v>
      </c>
      <c r="AI21" t="s">
        <v>56</v>
      </c>
      <c r="AJ21" t="s">
        <v>57</v>
      </c>
      <c r="AK21" t="s">
        <v>58</v>
      </c>
      <c r="AL21" t="s">
        <v>59</v>
      </c>
      <c r="AM21" t="s">
        <v>60</v>
      </c>
      <c r="AN21">
        <v>8</v>
      </c>
      <c r="AO21">
        <v>37</v>
      </c>
      <c r="AP21">
        <v>5</v>
      </c>
      <c r="AQ21">
        <v>6</v>
      </c>
      <c r="AR21" t="s">
        <v>55</v>
      </c>
      <c r="AS21" t="s">
        <v>61</v>
      </c>
      <c r="AT21" t="s">
        <v>56</v>
      </c>
      <c r="AU21" t="s">
        <v>62</v>
      </c>
      <c r="AV21" t="s">
        <v>63</v>
      </c>
      <c r="AW21" t="s">
        <v>60</v>
      </c>
      <c r="AX21" t="s">
        <v>60</v>
      </c>
      <c r="AY21">
        <v>3</v>
      </c>
      <c r="AZ21" t="s">
        <v>64</v>
      </c>
      <c r="BA21">
        <v>7</v>
      </c>
      <c r="BB21">
        <v>7</v>
      </c>
      <c r="BC21" t="s">
        <v>70</v>
      </c>
    </row>
    <row r="22" spans="1:55" x14ac:dyDescent="0.2">
      <c r="A22" s="2" t="s">
        <v>2</v>
      </c>
      <c r="B22" s="2" t="s">
        <v>3</v>
      </c>
      <c r="C22" s="3">
        <v>-5</v>
      </c>
      <c r="D22" s="3">
        <v>-2</v>
      </c>
      <c r="E22" s="3">
        <v>-7</v>
      </c>
      <c r="F22" s="3">
        <v>-3</v>
      </c>
      <c r="G22" s="3">
        <v>-13.5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0.5</v>
      </c>
      <c r="R22">
        <v>1</v>
      </c>
      <c r="S22">
        <v>1</v>
      </c>
      <c r="T22">
        <f t="shared" si="4"/>
        <v>11</v>
      </c>
      <c r="U22">
        <f t="shared" si="5"/>
        <v>14</v>
      </c>
      <c r="V22">
        <f t="shared" si="6"/>
        <v>9</v>
      </c>
      <c r="W22">
        <f t="shared" si="7"/>
        <v>13</v>
      </c>
      <c r="X22">
        <f t="shared" si="8"/>
        <v>26.5</v>
      </c>
      <c r="Y22" t="str">
        <f>+VLOOKUP(A22,'[1]Tárgy kurzusai'!$A:$C,3,0)</f>
        <v>K:08:00-09:30(E.3.328)</v>
      </c>
      <c r="Z22">
        <f>+VLOOKUP(A22,'[1]Tárgy kurzusai'!$A:$F,6,0)</f>
        <v>1</v>
      </c>
      <c r="AA22" t="s">
        <v>66</v>
      </c>
      <c r="AB22" t="s">
        <v>50</v>
      </c>
      <c r="AC22" t="s">
        <v>51</v>
      </c>
      <c r="AD22" t="s">
        <v>68</v>
      </c>
      <c r="AE22" t="s">
        <v>53</v>
      </c>
      <c r="AF22" t="s">
        <v>53</v>
      </c>
      <c r="AG22" t="s">
        <v>55</v>
      </c>
      <c r="AH22" t="s">
        <v>55</v>
      </c>
      <c r="AI22" t="s">
        <v>55</v>
      </c>
      <c r="AJ22" t="s">
        <v>57</v>
      </c>
      <c r="AK22" t="s">
        <v>58</v>
      </c>
      <c r="AL22" t="s">
        <v>59</v>
      </c>
      <c r="AM22" t="s">
        <v>60</v>
      </c>
      <c r="AN22">
        <v>6</v>
      </c>
      <c r="AO22">
        <v>34</v>
      </c>
      <c r="AP22">
        <v>5</v>
      </c>
      <c r="AQ22">
        <v>12</v>
      </c>
      <c r="AR22" t="s">
        <v>55</v>
      </c>
      <c r="AS22" t="s">
        <v>61</v>
      </c>
      <c r="AT22" t="s">
        <v>55</v>
      </c>
      <c r="AU22" t="s">
        <v>62</v>
      </c>
      <c r="AV22" t="s">
        <v>63</v>
      </c>
      <c r="AW22" t="s">
        <v>60</v>
      </c>
      <c r="AX22" t="s">
        <v>60</v>
      </c>
      <c r="AY22">
        <v>3</v>
      </c>
      <c r="AZ22" t="s">
        <v>64</v>
      </c>
      <c r="BA22">
        <v>9</v>
      </c>
      <c r="BB22">
        <v>5</v>
      </c>
      <c r="BC22" t="s">
        <v>76</v>
      </c>
    </row>
    <row r="23" spans="1:55" x14ac:dyDescent="0.2">
      <c r="A23" s="2" t="s">
        <v>2</v>
      </c>
      <c r="B23" s="2" t="s">
        <v>3</v>
      </c>
      <c r="C23" s="3">
        <v>-6</v>
      </c>
      <c r="D23" s="3">
        <v>-10</v>
      </c>
      <c r="E23" s="3">
        <v>-7</v>
      </c>
      <c r="F23" s="3">
        <v>-8</v>
      </c>
      <c r="G23" s="3">
        <v>-19.5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0.33</v>
      </c>
      <c r="P23">
        <v>1</v>
      </c>
      <c r="Q23">
        <v>0.5</v>
      </c>
      <c r="R23">
        <v>1</v>
      </c>
      <c r="S23">
        <v>1</v>
      </c>
      <c r="T23">
        <f t="shared" si="4"/>
        <v>10</v>
      </c>
      <c r="U23">
        <f t="shared" si="5"/>
        <v>6</v>
      </c>
      <c r="V23">
        <f t="shared" si="6"/>
        <v>9</v>
      </c>
      <c r="W23">
        <f t="shared" si="7"/>
        <v>8</v>
      </c>
      <c r="X23">
        <f t="shared" si="8"/>
        <v>20.5</v>
      </c>
      <c r="Y23" t="str">
        <f>+VLOOKUP(A23,'[1]Tárgy kurzusai'!$A:$C,3,0)</f>
        <v>K:08:00-09:30(E.3.328)</v>
      </c>
      <c r="Z23">
        <f>+VLOOKUP(A23,'[1]Tárgy kurzusai'!$A:$F,6,0)</f>
        <v>1</v>
      </c>
      <c r="AA23" t="s">
        <v>66</v>
      </c>
      <c r="AB23" t="s">
        <v>71</v>
      </c>
      <c r="AC23" t="s">
        <v>72</v>
      </c>
      <c r="AD23" t="s">
        <v>85</v>
      </c>
      <c r="AE23" t="s">
        <v>69</v>
      </c>
      <c r="AF23" t="s">
        <v>53</v>
      </c>
      <c r="AG23" t="s">
        <v>55</v>
      </c>
      <c r="AH23" t="s">
        <v>55</v>
      </c>
      <c r="AI23" t="s">
        <v>55</v>
      </c>
      <c r="AJ23" t="s">
        <v>57</v>
      </c>
      <c r="AK23" t="s">
        <v>58</v>
      </c>
      <c r="AL23" t="s">
        <v>59</v>
      </c>
      <c r="AM23" t="s">
        <v>60</v>
      </c>
      <c r="AN23">
        <v>9</v>
      </c>
      <c r="AO23">
        <v>40</v>
      </c>
      <c r="AP23">
        <v>4</v>
      </c>
      <c r="AQ23">
        <v>15</v>
      </c>
      <c r="AR23" t="s">
        <v>55</v>
      </c>
      <c r="AS23" t="s">
        <v>61</v>
      </c>
      <c r="AT23" t="s">
        <v>55</v>
      </c>
      <c r="AU23" t="s">
        <v>62</v>
      </c>
      <c r="AV23" t="s">
        <v>63</v>
      </c>
      <c r="AW23" t="s">
        <v>60</v>
      </c>
      <c r="AX23" t="s">
        <v>60</v>
      </c>
      <c r="AY23" t="s">
        <v>60</v>
      </c>
      <c r="AZ23" t="s">
        <v>64</v>
      </c>
      <c r="BA23">
        <v>7</v>
      </c>
      <c r="BB23">
        <v>9</v>
      </c>
      <c r="BC23" t="s">
        <v>70</v>
      </c>
    </row>
    <row r="24" spans="1:55" x14ac:dyDescent="0.2">
      <c r="A24" s="2" t="s">
        <v>2</v>
      </c>
      <c r="B24" s="2" t="s">
        <v>3</v>
      </c>
      <c r="C24" s="3">
        <v>-12</v>
      </c>
      <c r="D24" s="3">
        <v>-6.5</v>
      </c>
      <c r="E24" s="3">
        <v>-3.5</v>
      </c>
      <c r="F24" s="3">
        <v>-6</v>
      </c>
      <c r="G24" s="3">
        <v>-12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0.75</v>
      </c>
      <c r="R24">
        <v>1</v>
      </c>
      <c r="S24">
        <v>1</v>
      </c>
      <c r="T24">
        <f t="shared" si="4"/>
        <v>4</v>
      </c>
      <c r="U24">
        <f t="shared" si="5"/>
        <v>9.5</v>
      </c>
      <c r="V24">
        <f t="shared" si="6"/>
        <v>12.5</v>
      </c>
      <c r="W24">
        <f t="shared" si="7"/>
        <v>10</v>
      </c>
      <c r="X24">
        <f t="shared" si="8"/>
        <v>28</v>
      </c>
      <c r="Y24" t="str">
        <f>+VLOOKUP(A24,'[1]Tárgy kurzusai'!$A:$C,3,0)</f>
        <v>K:08:00-09:30(E.3.328)</v>
      </c>
      <c r="Z24">
        <f>+VLOOKUP(A24,'[1]Tárgy kurzusai'!$A:$F,6,0)</f>
        <v>1</v>
      </c>
      <c r="AA24" t="s">
        <v>49</v>
      </c>
      <c r="AB24" t="s">
        <v>71</v>
      </c>
      <c r="AC24" t="s">
        <v>74</v>
      </c>
      <c r="AD24" t="s">
        <v>60</v>
      </c>
      <c r="AE24" t="s">
        <v>69</v>
      </c>
      <c r="AF24" t="s">
        <v>69</v>
      </c>
      <c r="AG24" t="s">
        <v>55</v>
      </c>
      <c r="AH24" t="s">
        <v>55</v>
      </c>
      <c r="AI24" t="s">
        <v>55</v>
      </c>
      <c r="AJ24" t="s">
        <v>57</v>
      </c>
      <c r="AK24" t="s">
        <v>58</v>
      </c>
      <c r="AL24" t="s">
        <v>59</v>
      </c>
      <c r="AM24" t="s">
        <v>60</v>
      </c>
      <c r="AN24">
        <v>8</v>
      </c>
      <c r="AO24">
        <v>34</v>
      </c>
      <c r="AP24">
        <v>4</v>
      </c>
      <c r="AQ24">
        <v>12</v>
      </c>
      <c r="AR24" t="s">
        <v>55</v>
      </c>
      <c r="AS24" t="s">
        <v>61</v>
      </c>
      <c r="AT24" t="s">
        <v>55</v>
      </c>
      <c r="AU24" t="s">
        <v>62</v>
      </c>
      <c r="AV24" t="s">
        <v>63</v>
      </c>
      <c r="AW24" t="s">
        <v>60</v>
      </c>
      <c r="AX24" t="s">
        <v>60</v>
      </c>
      <c r="AY24">
        <v>3</v>
      </c>
      <c r="AZ24" t="s">
        <v>64</v>
      </c>
      <c r="BA24">
        <v>6</v>
      </c>
      <c r="BB24">
        <v>5</v>
      </c>
      <c r="BC24" t="s">
        <v>70</v>
      </c>
    </row>
    <row r="25" spans="1:55" x14ac:dyDescent="0.2">
      <c r="A25" s="2" t="s">
        <v>2</v>
      </c>
      <c r="B25" s="2" t="s">
        <v>3</v>
      </c>
      <c r="C25" s="3">
        <v>-7</v>
      </c>
      <c r="D25" s="3">
        <v>-9</v>
      </c>
      <c r="E25" s="3">
        <v>-8.5</v>
      </c>
      <c r="F25" s="3">
        <v>-12.5</v>
      </c>
      <c r="G25" s="3">
        <v>-16.5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0.83</v>
      </c>
      <c r="P25">
        <v>1</v>
      </c>
      <c r="Q25">
        <v>0.5</v>
      </c>
      <c r="R25">
        <v>1</v>
      </c>
      <c r="S25">
        <v>1</v>
      </c>
      <c r="T25">
        <f t="shared" si="4"/>
        <v>9</v>
      </c>
      <c r="U25">
        <f t="shared" si="5"/>
        <v>7</v>
      </c>
      <c r="V25">
        <f t="shared" si="6"/>
        <v>7.5</v>
      </c>
      <c r="W25">
        <f t="shared" si="7"/>
        <v>3.5</v>
      </c>
      <c r="X25">
        <f t="shared" si="8"/>
        <v>23.5</v>
      </c>
      <c r="Y25" t="str">
        <f>+VLOOKUP(A25,'[1]Tárgy kurzusai'!$A:$C,3,0)</f>
        <v>K:08:00-09:30(E.3.328)</v>
      </c>
      <c r="Z25">
        <f>+VLOOKUP(A25,'[1]Tárgy kurzusai'!$A:$F,6,0)</f>
        <v>1</v>
      </c>
      <c r="AA25" t="s">
        <v>49</v>
      </c>
      <c r="AB25" t="s">
        <v>71</v>
      </c>
      <c r="AC25" t="s">
        <v>74</v>
      </c>
      <c r="AD25" t="s">
        <v>60</v>
      </c>
      <c r="AE25" t="s">
        <v>69</v>
      </c>
      <c r="AF25" t="s">
        <v>53</v>
      </c>
      <c r="AG25" t="s">
        <v>55</v>
      </c>
      <c r="AH25" t="s">
        <v>55</v>
      </c>
      <c r="AI25" t="s">
        <v>56</v>
      </c>
      <c r="AJ25" t="s">
        <v>57</v>
      </c>
      <c r="AK25" t="s">
        <v>58</v>
      </c>
      <c r="AL25" t="s">
        <v>59</v>
      </c>
      <c r="AM25" t="s">
        <v>60</v>
      </c>
      <c r="AN25">
        <v>7</v>
      </c>
      <c r="AO25">
        <v>33</v>
      </c>
      <c r="AP25">
        <v>5</v>
      </c>
      <c r="AQ25">
        <v>14</v>
      </c>
      <c r="AR25" t="s">
        <v>55</v>
      </c>
      <c r="AS25" t="s">
        <v>55</v>
      </c>
      <c r="AT25" t="s">
        <v>56</v>
      </c>
      <c r="AU25" t="s">
        <v>62</v>
      </c>
      <c r="AV25" t="s">
        <v>63</v>
      </c>
      <c r="AW25" t="s">
        <v>60</v>
      </c>
      <c r="AX25" t="s">
        <v>60</v>
      </c>
      <c r="AY25">
        <v>4</v>
      </c>
      <c r="AZ25" t="s">
        <v>64</v>
      </c>
      <c r="BA25">
        <v>6</v>
      </c>
      <c r="BB25">
        <v>5</v>
      </c>
      <c r="BC25" t="s">
        <v>82</v>
      </c>
    </row>
    <row r="26" spans="1:55" x14ac:dyDescent="0.2">
      <c r="A26" s="2" t="s">
        <v>2</v>
      </c>
      <c r="B26" s="2" t="s">
        <v>3</v>
      </c>
      <c r="C26" s="3">
        <v>-5.5</v>
      </c>
      <c r="D26" s="3">
        <v>-5.5</v>
      </c>
      <c r="E26" s="3">
        <v>0</v>
      </c>
      <c r="F26" s="3">
        <v>-3</v>
      </c>
      <c r="G26" s="3">
        <v>-10.5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f t="shared" si="4"/>
        <v>10.5</v>
      </c>
      <c r="U26">
        <f t="shared" si="5"/>
        <v>10.5</v>
      </c>
      <c r="V26">
        <f t="shared" si="6"/>
        <v>16</v>
      </c>
      <c r="W26">
        <f t="shared" si="7"/>
        <v>13</v>
      </c>
      <c r="X26">
        <f t="shared" si="8"/>
        <v>29.5</v>
      </c>
      <c r="Y26" t="str">
        <f>+VLOOKUP(A26,'[1]Tárgy kurzusai'!$A:$C,3,0)</f>
        <v>K:08:00-09:30(E.3.328)</v>
      </c>
      <c r="Z26">
        <f>+VLOOKUP(A26,'[1]Tárgy kurzusai'!$A:$F,6,0)</f>
        <v>1</v>
      </c>
      <c r="AA26" t="s">
        <v>66</v>
      </c>
      <c r="AB26" t="s">
        <v>71</v>
      </c>
      <c r="AC26" t="s">
        <v>74</v>
      </c>
      <c r="AD26" t="s">
        <v>60</v>
      </c>
      <c r="AE26" t="s">
        <v>69</v>
      </c>
      <c r="AF26" t="s">
        <v>69</v>
      </c>
      <c r="AG26" t="s">
        <v>55</v>
      </c>
      <c r="AH26" t="s">
        <v>55</v>
      </c>
      <c r="AI26" t="s">
        <v>56</v>
      </c>
      <c r="AJ26" t="s">
        <v>57</v>
      </c>
      <c r="AK26" t="s">
        <v>58</v>
      </c>
      <c r="AL26" t="s">
        <v>59</v>
      </c>
      <c r="AM26" t="s">
        <v>60</v>
      </c>
      <c r="AN26">
        <v>8</v>
      </c>
      <c r="AO26">
        <v>37</v>
      </c>
      <c r="AP26">
        <v>5</v>
      </c>
      <c r="AQ26">
        <v>5</v>
      </c>
      <c r="AR26" t="s">
        <v>55</v>
      </c>
      <c r="AS26" t="s">
        <v>61</v>
      </c>
      <c r="AT26" t="s">
        <v>56</v>
      </c>
      <c r="AU26" t="s">
        <v>62</v>
      </c>
      <c r="AV26" t="s">
        <v>63</v>
      </c>
      <c r="AW26" t="s">
        <v>60</v>
      </c>
      <c r="AX26" t="s">
        <v>60</v>
      </c>
      <c r="AY26">
        <v>5</v>
      </c>
      <c r="AZ26" t="s">
        <v>64</v>
      </c>
      <c r="BA26">
        <v>10</v>
      </c>
      <c r="BB26">
        <v>9</v>
      </c>
      <c r="BC26" t="s">
        <v>76</v>
      </c>
    </row>
    <row r="27" spans="1:55" x14ac:dyDescent="0.2">
      <c r="A27" s="2" t="s">
        <v>2</v>
      </c>
      <c r="B27" s="2" t="s">
        <v>3</v>
      </c>
      <c r="C27" s="3">
        <v>-3</v>
      </c>
      <c r="D27" s="3">
        <v>-3</v>
      </c>
      <c r="E27" s="3">
        <v>-8</v>
      </c>
      <c r="F27" s="3">
        <v>-7</v>
      </c>
      <c r="G27" s="3">
        <v>-17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f t="shared" si="4"/>
        <v>13</v>
      </c>
      <c r="U27">
        <f t="shared" si="5"/>
        <v>13</v>
      </c>
      <c r="V27">
        <f t="shared" si="6"/>
        <v>8</v>
      </c>
      <c r="W27">
        <f t="shared" si="7"/>
        <v>9</v>
      </c>
      <c r="X27">
        <f t="shared" si="8"/>
        <v>23</v>
      </c>
      <c r="Y27" t="str">
        <f>+VLOOKUP(A27,'[1]Tárgy kurzusai'!$A:$C,3,0)</f>
        <v>K:08:00-09:30(E.3.328)</v>
      </c>
      <c r="Z27">
        <f>+VLOOKUP(A27,'[1]Tárgy kurzusai'!$A:$F,6,0)</f>
        <v>1</v>
      </c>
      <c r="AA27" t="s">
        <v>66</v>
      </c>
      <c r="AB27" t="s">
        <v>80</v>
      </c>
      <c r="AC27" t="s">
        <v>75</v>
      </c>
      <c r="AD27" t="s">
        <v>68</v>
      </c>
      <c r="AE27" t="s">
        <v>69</v>
      </c>
      <c r="AF27" t="s">
        <v>69</v>
      </c>
      <c r="AG27" t="s">
        <v>55</v>
      </c>
      <c r="AH27" t="s">
        <v>55</v>
      </c>
      <c r="AI27" t="s">
        <v>56</v>
      </c>
      <c r="AJ27" t="s">
        <v>57</v>
      </c>
      <c r="AK27" t="s">
        <v>79</v>
      </c>
      <c r="AL27" t="s">
        <v>59</v>
      </c>
      <c r="AM27" t="s">
        <v>60</v>
      </c>
      <c r="AN27">
        <v>5</v>
      </c>
      <c r="AO27">
        <v>30</v>
      </c>
      <c r="AP27">
        <v>5</v>
      </c>
      <c r="AQ27">
        <v>10</v>
      </c>
      <c r="AR27" t="s">
        <v>55</v>
      </c>
      <c r="AS27" t="s">
        <v>61</v>
      </c>
      <c r="AT27" t="s">
        <v>56</v>
      </c>
      <c r="AU27" t="s">
        <v>62</v>
      </c>
      <c r="AV27" t="s">
        <v>63</v>
      </c>
      <c r="AW27" t="s">
        <v>60</v>
      </c>
      <c r="AX27" t="s">
        <v>60</v>
      </c>
      <c r="AY27">
        <v>4</v>
      </c>
      <c r="AZ27" t="s">
        <v>64</v>
      </c>
      <c r="BA27">
        <v>9</v>
      </c>
      <c r="BB27">
        <v>8</v>
      </c>
      <c r="BC27" t="s">
        <v>70</v>
      </c>
    </row>
    <row r="28" spans="1:55" x14ac:dyDescent="0.2">
      <c r="A28" s="2" t="s">
        <v>2</v>
      </c>
      <c r="B28" s="2" t="s">
        <v>3</v>
      </c>
      <c r="C28" s="3">
        <v>-3</v>
      </c>
      <c r="D28" s="3">
        <v>-7.5</v>
      </c>
      <c r="E28" s="3">
        <v>0</v>
      </c>
      <c r="F28" s="3">
        <v>0</v>
      </c>
      <c r="G28" s="3">
        <v>-6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0.75</v>
      </c>
      <c r="R28">
        <v>1</v>
      </c>
      <c r="S28">
        <v>1</v>
      </c>
      <c r="T28">
        <f t="shared" si="4"/>
        <v>13</v>
      </c>
      <c r="U28">
        <f t="shared" si="5"/>
        <v>8.5</v>
      </c>
      <c r="V28">
        <f t="shared" si="6"/>
        <v>16</v>
      </c>
      <c r="W28">
        <f t="shared" si="7"/>
        <v>16</v>
      </c>
      <c r="X28">
        <f t="shared" si="8"/>
        <v>34</v>
      </c>
      <c r="Y28" t="str">
        <f>+VLOOKUP(A28,'[1]Tárgy kurzusai'!$A:$C,3,0)</f>
        <v>K:08:00-09:30(E.3.328)</v>
      </c>
      <c r="Z28">
        <f>+VLOOKUP(A28,'[1]Tárgy kurzusai'!$A:$F,6,0)</f>
        <v>1</v>
      </c>
      <c r="AA28" t="s">
        <v>49</v>
      </c>
      <c r="AB28" t="s">
        <v>50</v>
      </c>
      <c r="AC28" t="s">
        <v>72</v>
      </c>
      <c r="AD28" t="s">
        <v>86</v>
      </c>
      <c r="AE28" t="s">
        <v>53</v>
      </c>
      <c r="AF28" t="s">
        <v>53</v>
      </c>
      <c r="AG28" t="s">
        <v>55</v>
      </c>
      <c r="AH28" t="s">
        <v>55</v>
      </c>
      <c r="AI28" t="s">
        <v>55</v>
      </c>
      <c r="AJ28" t="s">
        <v>57</v>
      </c>
      <c r="AK28" t="s">
        <v>58</v>
      </c>
      <c r="AL28" t="s">
        <v>59</v>
      </c>
      <c r="AM28" t="s">
        <v>60</v>
      </c>
      <c r="AN28">
        <v>8</v>
      </c>
      <c r="AO28">
        <v>34</v>
      </c>
      <c r="AP28">
        <v>5</v>
      </c>
      <c r="AQ28">
        <v>8</v>
      </c>
      <c r="AR28" t="s">
        <v>55</v>
      </c>
      <c r="AS28" t="s">
        <v>61</v>
      </c>
      <c r="AT28" t="s">
        <v>55</v>
      </c>
      <c r="AU28" t="s">
        <v>62</v>
      </c>
      <c r="AV28" t="s">
        <v>63</v>
      </c>
      <c r="AW28" t="s">
        <v>60</v>
      </c>
      <c r="AX28" t="s">
        <v>60</v>
      </c>
      <c r="AY28" t="s">
        <v>60</v>
      </c>
      <c r="AZ28" t="s">
        <v>64</v>
      </c>
      <c r="BA28">
        <v>7</v>
      </c>
      <c r="BB28">
        <v>7</v>
      </c>
      <c r="BC28" t="s">
        <v>82</v>
      </c>
    </row>
    <row r="29" spans="1:55" x14ac:dyDescent="0.2">
      <c r="A29" s="2" t="s">
        <v>2</v>
      </c>
      <c r="B29" s="2" t="s">
        <v>3</v>
      </c>
      <c r="C29" s="3">
        <v>-2.5</v>
      </c>
      <c r="D29" s="3">
        <v>-7.5</v>
      </c>
      <c r="E29" s="3">
        <v>-1</v>
      </c>
      <c r="F29" s="3">
        <v>-2</v>
      </c>
      <c r="G29" s="3">
        <v>-9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0.83</v>
      </c>
      <c r="P29">
        <v>1</v>
      </c>
      <c r="Q29">
        <v>0.5</v>
      </c>
      <c r="R29">
        <v>1</v>
      </c>
      <c r="S29">
        <v>1</v>
      </c>
      <c r="T29">
        <f t="shared" si="4"/>
        <v>13.5</v>
      </c>
      <c r="U29">
        <f t="shared" si="5"/>
        <v>8.5</v>
      </c>
      <c r="V29">
        <f t="shared" si="6"/>
        <v>15</v>
      </c>
      <c r="W29">
        <f t="shared" si="7"/>
        <v>14</v>
      </c>
      <c r="X29">
        <f t="shared" si="8"/>
        <v>31</v>
      </c>
      <c r="Y29" t="str">
        <f>+VLOOKUP(A29,'[1]Tárgy kurzusai'!$A:$C,3,0)</f>
        <v>K:08:00-09:30(E.3.328)</v>
      </c>
      <c r="Z29">
        <f>+VLOOKUP(A29,'[1]Tárgy kurzusai'!$A:$F,6,0)</f>
        <v>1</v>
      </c>
      <c r="AA29" t="s">
        <v>49</v>
      </c>
      <c r="AB29" t="s">
        <v>71</v>
      </c>
      <c r="AC29" t="s">
        <v>72</v>
      </c>
      <c r="AD29" t="s">
        <v>87</v>
      </c>
      <c r="AE29" t="s">
        <v>69</v>
      </c>
      <c r="AF29" t="s">
        <v>69</v>
      </c>
      <c r="AG29" t="s">
        <v>55</v>
      </c>
      <c r="AH29" t="s">
        <v>55</v>
      </c>
      <c r="AI29" t="s">
        <v>56</v>
      </c>
      <c r="AJ29" t="s">
        <v>57</v>
      </c>
      <c r="AK29" t="s">
        <v>79</v>
      </c>
      <c r="AL29" t="s">
        <v>59</v>
      </c>
      <c r="AM29" t="s">
        <v>60</v>
      </c>
      <c r="AN29">
        <v>5</v>
      </c>
      <c r="AO29">
        <v>30</v>
      </c>
      <c r="AP29">
        <v>5</v>
      </c>
      <c r="AQ29">
        <v>6</v>
      </c>
      <c r="AR29" t="s">
        <v>55</v>
      </c>
      <c r="AS29" t="s">
        <v>55</v>
      </c>
      <c r="AT29" t="s">
        <v>55</v>
      </c>
      <c r="AU29" t="s">
        <v>62</v>
      </c>
      <c r="AV29" t="s">
        <v>63</v>
      </c>
      <c r="AW29" t="s">
        <v>60</v>
      </c>
      <c r="AX29" t="s">
        <v>60</v>
      </c>
      <c r="AY29">
        <v>4</v>
      </c>
      <c r="AZ29" t="s">
        <v>64</v>
      </c>
      <c r="BA29">
        <v>7</v>
      </c>
      <c r="BB29">
        <v>8</v>
      </c>
      <c r="BC29" t="s">
        <v>76</v>
      </c>
    </row>
    <row r="30" spans="1:55" x14ac:dyDescent="0.2">
      <c r="A30" s="2" t="s">
        <v>2</v>
      </c>
      <c r="B30" s="2" t="s">
        <v>3</v>
      </c>
      <c r="C30" s="3">
        <v>-9</v>
      </c>
      <c r="D30" s="3">
        <v>-2</v>
      </c>
      <c r="E30" s="3">
        <v>-4</v>
      </c>
      <c r="F30" s="3">
        <v>-3</v>
      </c>
      <c r="G30" s="3">
        <v>-12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0.75</v>
      </c>
      <c r="R30">
        <v>1</v>
      </c>
      <c r="S30">
        <v>1</v>
      </c>
      <c r="T30">
        <f t="shared" si="4"/>
        <v>7</v>
      </c>
      <c r="U30">
        <f t="shared" si="5"/>
        <v>14</v>
      </c>
      <c r="V30">
        <f t="shared" si="6"/>
        <v>12</v>
      </c>
      <c r="W30">
        <f t="shared" si="7"/>
        <v>13</v>
      </c>
      <c r="X30">
        <f t="shared" si="8"/>
        <v>28</v>
      </c>
      <c r="Y30" t="str">
        <f>+VLOOKUP(A30,'[1]Tárgy kurzusai'!$A:$C,3,0)</f>
        <v>K:08:00-09:30(E.3.328)</v>
      </c>
      <c r="Z30">
        <f>+VLOOKUP(A30,'[1]Tárgy kurzusai'!$A:$F,6,0)</f>
        <v>1</v>
      </c>
      <c r="AA30" t="s">
        <v>66</v>
      </c>
      <c r="AB30" t="s">
        <v>71</v>
      </c>
      <c r="AC30" t="s">
        <v>72</v>
      </c>
      <c r="AD30" t="s">
        <v>88</v>
      </c>
      <c r="AE30" t="s">
        <v>69</v>
      </c>
      <c r="AF30" t="s">
        <v>69</v>
      </c>
      <c r="AG30" t="s">
        <v>56</v>
      </c>
      <c r="AH30" t="s">
        <v>55</v>
      </c>
      <c r="AI30" t="s">
        <v>56</v>
      </c>
      <c r="AJ30" t="s">
        <v>57</v>
      </c>
      <c r="AK30" t="s">
        <v>58</v>
      </c>
      <c r="AL30" t="s">
        <v>59</v>
      </c>
      <c r="AM30" t="s">
        <v>60</v>
      </c>
      <c r="AN30">
        <v>8</v>
      </c>
      <c r="AO30">
        <v>37</v>
      </c>
      <c r="AP30">
        <v>5</v>
      </c>
      <c r="AQ30">
        <v>15</v>
      </c>
      <c r="AR30" t="s">
        <v>55</v>
      </c>
      <c r="AS30" t="s">
        <v>61</v>
      </c>
      <c r="AT30" t="s">
        <v>56</v>
      </c>
      <c r="AU30" t="s">
        <v>62</v>
      </c>
      <c r="AV30" t="s">
        <v>63</v>
      </c>
      <c r="AW30" t="s">
        <v>60</v>
      </c>
      <c r="AX30" t="s">
        <v>60</v>
      </c>
      <c r="AY30">
        <v>4</v>
      </c>
      <c r="AZ30" t="s">
        <v>64</v>
      </c>
      <c r="BA30">
        <v>7</v>
      </c>
      <c r="BB30">
        <v>9</v>
      </c>
      <c r="BC30" t="s">
        <v>70</v>
      </c>
    </row>
    <row r="31" spans="1:55" x14ac:dyDescent="0.2">
      <c r="A31" s="2" t="s">
        <v>2</v>
      </c>
      <c r="B31" s="2" t="s">
        <v>3</v>
      </c>
      <c r="C31" s="3">
        <v>-5</v>
      </c>
      <c r="D31" s="3">
        <v>-6</v>
      </c>
      <c r="E31" s="3">
        <v>-3</v>
      </c>
      <c r="F31" s="3">
        <v>-10</v>
      </c>
      <c r="G31" s="3">
        <v>-6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0.75</v>
      </c>
      <c r="R31">
        <v>1</v>
      </c>
      <c r="S31">
        <v>1</v>
      </c>
      <c r="T31">
        <f t="shared" si="4"/>
        <v>11</v>
      </c>
      <c r="U31">
        <f t="shared" si="5"/>
        <v>10</v>
      </c>
      <c r="V31">
        <f t="shared" si="6"/>
        <v>13</v>
      </c>
      <c r="W31">
        <f t="shared" si="7"/>
        <v>6</v>
      </c>
      <c r="X31">
        <f t="shared" si="8"/>
        <v>34</v>
      </c>
      <c r="Y31" t="str">
        <f>+VLOOKUP(A31,'[1]Tárgy kurzusai'!$A:$C,3,0)</f>
        <v>K:08:00-09:30(E.3.328)</v>
      </c>
      <c r="Z31">
        <f>+VLOOKUP(A31,'[1]Tárgy kurzusai'!$A:$F,6,0)</f>
        <v>1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</row>
    <row r="32" spans="1:55" x14ac:dyDescent="0.2">
      <c r="A32" s="2" t="s">
        <v>2</v>
      </c>
      <c r="B32" s="2" t="s">
        <v>3</v>
      </c>
      <c r="C32" s="3">
        <v>-3</v>
      </c>
      <c r="D32" s="3">
        <v>-9.5</v>
      </c>
      <c r="E32" s="3">
        <v>-0.5</v>
      </c>
      <c r="F32" s="3"/>
      <c r="G32" s="3">
        <v>-9.5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0.75</v>
      </c>
      <c r="O32">
        <v>0.67</v>
      </c>
      <c r="P32">
        <v>1</v>
      </c>
      <c r="Q32">
        <v>1</v>
      </c>
      <c r="R32">
        <v>1</v>
      </c>
      <c r="S32">
        <v>1</v>
      </c>
      <c r="T32">
        <f t="shared" si="4"/>
        <v>13</v>
      </c>
      <c r="U32">
        <f t="shared" si="5"/>
        <v>6.5</v>
      </c>
      <c r="V32">
        <f t="shared" si="6"/>
        <v>15.5</v>
      </c>
      <c r="W32">
        <f t="shared" si="7"/>
        <v>16</v>
      </c>
      <c r="X32">
        <f t="shared" si="8"/>
        <v>30.5</v>
      </c>
      <c r="Y32" t="str">
        <f>+VLOOKUP(A32,'[1]Tárgy kurzusai'!$A:$C,3,0)</f>
        <v>K:08:00-09:30(E.3.328)</v>
      </c>
      <c r="Z32">
        <f>+VLOOKUP(A32,'[1]Tárgy kurzusai'!$A:$F,6,0)</f>
        <v>1</v>
      </c>
      <c r="AA32" t="s">
        <v>66</v>
      </c>
      <c r="AB32" t="s">
        <v>71</v>
      </c>
      <c r="AC32" t="s">
        <v>74</v>
      </c>
      <c r="AD32" t="s">
        <v>60</v>
      </c>
      <c r="AE32" t="s">
        <v>69</v>
      </c>
      <c r="AF32" t="s">
        <v>69</v>
      </c>
      <c r="AG32" t="s">
        <v>55</v>
      </c>
      <c r="AH32" t="s">
        <v>55</v>
      </c>
      <c r="AI32" t="s">
        <v>55</v>
      </c>
      <c r="AJ32" t="s">
        <v>57</v>
      </c>
      <c r="AK32" t="s">
        <v>58</v>
      </c>
      <c r="AL32" t="s">
        <v>59</v>
      </c>
      <c r="AM32" t="s">
        <v>60</v>
      </c>
      <c r="AN32">
        <v>8</v>
      </c>
      <c r="AO32">
        <v>37</v>
      </c>
      <c r="AP32">
        <v>5</v>
      </c>
      <c r="AQ32">
        <v>5</v>
      </c>
      <c r="AR32" t="s">
        <v>55</v>
      </c>
      <c r="AS32" t="s">
        <v>55</v>
      </c>
      <c r="AT32" t="s">
        <v>56</v>
      </c>
      <c r="AU32" t="s">
        <v>62</v>
      </c>
      <c r="AV32" t="s">
        <v>63</v>
      </c>
      <c r="AW32" t="s">
        <v>60</v>
      </c>
      <c r="AX32" t="s">
        <v>60</v>
      </c>
      <c r="AY32">
        <v>4</v>
      </c>
      <c r="AZ32" t="s">
        <v>64</v>
      </c>
      <c r="BA32">
        <v>6</v>
      </c>
      <c r="BB32">
        <v>9</v>
      </c>
      <c r="BC32" t="s">
        <v>70</v>
      </c>
    </row>
    <row r="33" spans="1:55" ht="16" x14ac:dyDescent="0.2">
      <c r="A33" s="4" t="s">
        <v>4</v>
      </c>
      <c r="B33" s="4" t="s">
        <v>3</v>
      </c>
      <c r="C33" s="5">
        <v>-8</v>
      </c>
      <c r="D33" s="5">
        <v>-6</v>
      </c>
      <c r="E33" s="5">
        <v>-5</v>
      </c>
      <c r="F33" s="5">
        <v>-10</v>
      </c>
      <c r="G33" s="3">
        <v>-20.5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0.75</v>
      </c>
      <c r="R33">
        <v>1</v>
      </c>
      <c r="S33">
        <v>1</v>
      </c>
      <c r="T33">
        <f t="shared" si="4"/>
        <v>8</v>
      </c>
      <c r="U33">
        <f t="shared" si="5"/>
        <v>10</v>
      </c>
      <c r="V33">
        <f t="shared" si="6"/>
        <v>11</v>
      </c>
      <c r="W33">
        <f t="shared" si="7"/>
        <v>6</v>
      </c>
      <c r="X33">
        <f t="shared" si="8"/>
        <v>19.5</v>
      </c>
      <c r="Y33" t="str">
        <f>+VLOOKUP(A33,'[1]Tárgy kurzusai'!$A:$C,3,0)</f>
        <v>K:13:40-15:10(C 664)</v>
      </c>
      <c r="Z33">
        <f>+VLOOKUP(A33,'[1]Tárgy kurzusai'!$A:$F,6,0)</f>
        <v>3</v>
      </c>
      <c r="AA33" t="s">
        <v>49</v>
      </c>
      <c r="AB33" t="s">
        <v>71</v>
      </c>
      <c r="AC33" t="s">
        <v>51</v>
      </c>
      <c r="AD33" t="s">
        <v>89</v>
      </c>
      <c r="AE33" t="s">
        <v>69</v>
      </c>
      <c r="AF33" t="s">
        <v>69</v>
      </c>
      <c r="AG33" t="s">
        <v>55</v>
      </c>
      <c r="AH33" t="s">
        <v>55</v>
      </c>
      <c r="AI33" t="s">
        <v>55</v>
      </c>
      <c r="AJ33" t="s">
        <v>57</v>
      </c>
      <c r="AK33" t="s">
        <v>79</v>
      </c>
      <c r="AL33" t="s">
        <v>59</v>
      </c>
      <c r="AM33" t="s">
        <v>60</v>
      </c>
      <c r="AN33">
        <v>7</v>
      </c>
      <c r="AO33">
        <v>34</v>
      </c>
      <c r="AP33">
        <v>6</v>
      </c>
      <c r="AQ33">
        <v>13</v>
      </c>
      <c r="AR33" t="s">
        <v>55</v>
      </c>
      <c r="AS33" t="s">
        <v>55</v>
      </c>
      <c r="AT33" t="s">
        <v>56</v>
      </c>
      <c r="AU33" t="s">
        <v>62</v>
      </c>
      <c r="AV33" t="s">
        <v>63</v>
      </c>
      <c r="AW33" t="s">
        <v>60</v>
      </c>
      <c r="AX33" t="s">
        <v>60</v>
      </c>
      <c r="AY33">
        <v>4</v>
      </c>
      <c r="AZ33" t="s">
        <v>64</v>
      </c>
      <c r="BA33">
        <v>5</v>
      </c>
      <c r="BB33">
        <v>5</v>
      </c>
      <c r="BC33" t="s">
        <v>76</v>
      </c>
    </row>
    <row r="34" spans="1:55" ht="16" x14ac:dyDescent="0.2">
      <c r="A34" s="4" t="s">
        <v>4</v>
      </c>
      <c r="B34" s="4" t="s">
        <v>3</v>
      </c>
      <c r="C34" s="5">
        <v>-4.5</v>
      </c>
      <c r="D34" s="5">
        <v>-10</v>
      </c>
      <c r="E34" s="5">
        <v>-5</v>
      </c>
      <c r="F34" s="5">
        <v>-12</v>
      </c>
      <c r="G34" s="3">
        <v>-24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f t="shared" si="4"/>
        <v>11.5</v>
      </c>
      <c r="U34">
        <f t="shared" si="5"/>
        <v>6</v>
      </c>
      <c r="V34">
        <f t="shared" si="6"/>
        <v>11</v>
      </c>
      <c r="W34">
        <f t="shared" si="7"/>
        <v>4</v>
      </c>
      <c r="X34">
        <f t="shared" si="8"/>
        <v>16</v>
      </c>
      <c r="Y34" t="str">
        <f>+VLOOKUP(A34,'[1]Tárgy kurzusai'!$A:$C,3,0)</f>
        <v>K:13:40-15:10(C 664)</v>
      </c>
      <c r="Z34">
        <f>+VLOOKUP(A34,'[1]Tárgy kurzusai'!$A:$F,6,0)</f>
        <v>3</v>
      </c>
      <c r="AA34" t="s">
        <v>49</v>
      </c>
      <c r="AB34" t="s">
        <v>71</v>
      </c>
      <c r="AC34" t="s">
        <v>51</v>
      </c>
      <c r="AD34" t="s">
        <v>68</v>
      </c>
      <c r="AE34" t="s">
        <v>69</v>
      </c>
      <c r="AF34" t="s">
        <v>69</v>
      </c>
      <c r="AG34" t="s">
        <v>55</v>
      </c>
      <c r="AH34" t="s">
        <v>55</v>
      </c>
      <c r="AI34" t="s">
        <v>56</v>
      </c>
      <c r="AJ34" t="s">
        <v>57</v>
      </c>
      <c r="AK34" t="s">
        <v>79</v>
      </c>
      <c r="AL34" t="s">
        <v>59</v>
      </c>
      <c r="AM34" t="s">
        <v>60</v>
      </c>
      <c r="AN34">
        <v>6</v>
      </c>
      <c r="AO34">
        <v>30</v>
      </c>
      <c r="AP34">
        <v>5</v>
      </c>
      <c r="AQ34">
        <v>5</v>
      </c>
      <c r="AR34" t="s">
        <v>55</v>
      </c>
      <c r="AS34" t="s">
        <v>55</v>
      </c>
      <c r="AT34" t="s">
        <v>56</v>
      </c>
      <c r="AU34" t="s">
        <v>62</v>
      </c>
      <c r="AV34" t="s">
        <v>63</v>
      </c>
      <c r="AW34" t="s">
        <v>60</v>
      </c>
      <c r="AX34" t="s">
        <v>60</v>
      </c>
      <c r="AY34">
        <v>4</v>
      </c>
      <c r="AZ34" t="s">
        <v>64</v>
      </c>
      <c r="BA34">
        <v>5</v>
      </c>
      <c r="BB34">
        <v>10</v>
      </c>
      <c r="BC34" t="s">
        <v>70</v>
      </c>
    </row>
    <row r="35" spans="1:55" ht="16" x14ac:dyDescent="0.2">
      <c r="A35" s="4" t="s">
        <v>4</v>
      </c>
      <c r="B35" s="4" t="s">
        <v>3</v>
      </c>
      <c r="C35" s="5">
        <v>-10</v>
      </c>
      <c r="D35" s="5">
        <v>-10</v>
      </c>
      <c r="E35" s="6">
        <v>-16</v>
      </c>
      <c r="F35" s="6">
        <v>-16</v>
      </c>
      <c r="G35" s="3">
        <v>0</v>
      </c>
      <c r="H35">
        <v>1</v>
      </c>
      <c r="I35">
        <v>0.5</v>
      </c>
      <c r="J35">
        <v>0</v>
      </c>
      <c r="K35">
        <v>1</v>
      </c>
      <c r="L35">
        <v>1</v>
      </c>
      <c r="M35">
        <v>1</v>
      </c>
      <c r="N35">
        <v>1</v>
      </c>
      <c r="O35">
        <v>0.5</v>
      </c>
      <c r="P35">
        <v>1</v>
      </c>
      <c r="Q35">
        <v>0.75</v>
      </c>
      <c r="R35">
        <v>1</v>
      </c>
      <c r="S35">
        <v>1</v>
      </c>
      <c r="T35">
        <f t="shared" si="4"/>
        <v>6</v>
      </c>
      <c r="U35">
        <f t="shared" si="5"/>
        <v>6</v>
      </c>
      <c r="V35">
        <f t="shared" si="6"/>
        <v>0</v>
      </c>
      <c r="W35">
        <f t="shared" si="7"/>
        <v>0</v>
      </c>
      <c r="X35">
        <f t="shared" si="8"/>
        <v>40</v>
      </c>
      <c r="Y35" t="str">
        <f>+VLOOKUP(A35,'[1]Tárgy kurzusai'!$A:$C,3,0)</f>
        <v>K:13:40-15:10(C 664)</v>
      </c>
      <c r="Z35">
        <f>+VLOOKUP(A35,'[1]Tárgy kurzusai'!$A:$F,6,0)</f>
        <v>3</v>
      </c>
      <c r="AA35" t="s">
        <v>66</v>
      </c>
      <c r="AB35" t="s">
        <v>71</v>
      </c>
      <c r="AC35" t="s">
        <v>51</v>
      </c>
      <c r="AD35" t="s">
        <v>68</v>
      </c>
      <c r="AE35" t="s">
        <v>69</v>
      </c>
      <c r="AF35" t="s">
        <v>69</v>
      </c>
      <c r="AG35" t="s">
        <v>55</v>
      </c>
      <c r="AH35" t="s">
        <v>55</v>
      </c>
      <c r="AI35" t="s">
        <v>56</v>
      </c>
      <c r="AJ35" t="s">
        <v>57</v>
      </c>
      <c r="AK35" t="s">
        <v>58</v>
      </c>
      <c r="AL35" t="s">
        <v>59</v>
      </c>
      <c r="AM35" t="s">
        <v>60</v>
      </c>
      <c r="AN35">
        <v>9</v>
      </c>
      <c r="AO35">
        <v>40</v>
      </c>
      <c r="AP35">
        <v>4</v>
      </c>
      <c r="AQ35">
        <v>13</v>
      </c>
      <c r="AR35" t="s">
        <v>55</v>
      </c>
      <c r="AS35" t="s">
        <v>61</v>
      </c>
      <c r="AT35" t="s">
        <v>55</v>
      </c>
      <c r="AU35" t="s">
        <v>62</v>
      </c>
      <c r="AV35" t="s">
        <v>63</v>
      </c>
      <c r="AW35" t="s">
        <v>60</v>
      </c>
      <c r="AX35" t="s">
        <v>60</v>
      </c>
      <c r="AY35">
        <v>4</v>
      </c>
      <c r="AZ35" t="s">
        <v>64</v>
      </c>
      <c r="BA35">
        <v>7</v>
      </c>
      <c r="BB35">
        <v>8</v>
      </c>
      <c r="BC35" t="s">
        <v>76</v>
      </c>
    </row>
    <row r="36" spans="1:55" ht="16" x14ac:dyDescent="0.2">
      <c r="A36" s="4" t="s">
        <v>4</v>
      </c>
      <c r="B36" s="4" t="s">
        <v>3</v>
      </c>
      <c r="C36" s="5">
        <v>-3.5</v>
      </c>
      <c r="D36" s="5">
        <v>-12</v>
      </c>
      <c r="E36" s="5">
        <v>-4</v>
      </c>
      <c r="F36" s="5">
        <v>-12</v>
      </c>
      <c r="G36" s="3">
        <v>-23.5</v>
      </c>
      <c r="H36">
        <v>0.75</v>
      </c>
      <c r="I36">
        <v>0</v>
      </c>
      <c r="J36">
        <v>0.5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0.75</v>
      </c>
      <c r="R36">
        <v>1</v>
      </c>
      <c r="S36">
        <v>1</v>
      </c>
      <c r="T36">
        <f t="shared" si="4"/>
        <v>12.5</v>
      </c>
      <c r="U36">
        <f t="shared" si="5"/>
        <v>4</v>
      </c>
      <c r="V36">
        <f t="shared" si="6"/>
        <v>12</v>
      </c>
      <c r="W36">
        <f t="shared" si="7"/>
        <v>4</v>
      </c>
      <c r="X36">
        <f t="shared" si="8"/>
        <v>16.5</v>
      </c>
      <c r="Y36" t="str">
        <f>+VLOOKUP(A36,'[1]Tárgy kurzusai'!$A:$C,3,0)</f>
        <v>K:13:40-15:10(C 664)</v>
      </c>
      <c r="Z36">
        <f>+VLOOKUP(A36,'[1]Tárgy kurzusai'!$A:$F,6,0)</f>
        <v>3</v>
      </c>
      <c r="AA36" t="s">
        <v>66</v>
      </c>
      <c r="AB36" t="s">
        <v>80</v>
      </c>
      <c r="AC36" t="s">
        <v>51</v>
      </c>
      <c r="AD36" t="s">
        <v>68</v>
      </c>
      <c r="AE36" t="s">
        <v>69</v>
      </c>
      <c r="AF36" t="s">
        <v>69</v>
      </c>
      <c r="AG36" t="s">
        <v>55</v>
      </c>
      <c r="AH36" t="s">
        <v>55</v>
      </c>
      <c r="AI36" t="s">
        <v>56</v>
      </c>
      <c r="AJ36" t="s">
        <v>57</v>
      </c>
      <c r="AK36" t="s">
        <v>58</v>
      </c>
      <c r="AL36" t="s">
        <v>59</v>
      </c>
      <c r="AM36" t="s">
        <v>60</v>
      </c>
      <c r="AN36">
        <v>7</v>
      </c>
      <c r="AO36">
        <v>30</v>
      </c>
      <c r="AP36">
        <v>4</v>
      </c>
      <c r="AQ36">
        <v>5</v>
      </c>
      <c r="AR36" t="s">
        <v>55</v>
      </c>
      <c r="AS36" t="s">
        <v>61</v>
      </c>
      <c r="AT36" t="s">
        <v>55</v>
      </c>
      <c r="AU36" t="s">
        <v>62</v>
      </c>
      <c r="AV36" t="s">
        <v>63</v>
      </c>
      <c r="AW36" t="s">
        <v>60</v>
      </c>
      <c r="AX36" t="s">
        <v>60</v>
      </c>
      <c r="AY36">
        <v>3</v>
      </c>
      <c r="AZ36" t="s">
        <v>78</v>
      </c>
      <c r="BA36">
        <v>9</v>
      </c>
      <c r="BB36">
        <v>9</v>
      </c>
      <c r="BC36" t="s">
        <v>70</v>
      </c>
    </row>
    <row r="37" spans="1:55" ht="16" x14ac:dyDescent="0.2">
      <c r="A37" s="4" t="s">
        <v>4</v>
      </c>
      <c r="B37" s="4" t="s">
        <v>3</v>
      </c>
      <c r="C37" s="5">
        <v>-11</v>
      </c>
      <c r="D37" s="5">
        <v>-7.5</v>
      </c>
      <c r="E37" s="5">
        <v>-2</v>
      </c>
      <c r="F37" s="5">
        <v>0</v>
      </c>
      <c r="G37" s="3">
        <v>-16.5</v>
      </c>
      <c r="H37">
        <v>1</v>
      </c>
      <c r="I37">
        <v>1</v>
      </c>
      <c r="J37">
        <v>0.75</v>
      </c>
      <c r="K37">
        <v>1</v>
      </c>
      <c r="L37">
        <v>0.5</v>
      </c>
      <c r="M37">
        <v>1</v>
      </c>
      <c r="N37">
        <v>1</v>
      </c>
      <c r="O37">
        <v>1</v>
      </c>
      <c r="P37">
        <v>1</v>
      </c>
      <c r="Q37">
        <v>0.5</v>
      </c>
      <c r="R37">
        <v>1</v>
      </c>
      <c r="S37">
        <v>1</v>
      </c>
      <c r="T37">
        <f t="shared" si="4"/>
        <v>5</v>
      </c>
      <c r="U37">
        <f t="shared" si="5"/>
        <v>8.5</v>
      </c>
      <c r="V37">
        <f t="shared" si="6"/>
        <v>14</v>
      </c>
      <c r="W37">
        <f t="shared" si="7"/>
        <v>16</v>
      </c>
      <c r="X37">
        <f t="shared" si="8"/>
        <v>23.5</v>
      </c>
      <c r="Y37" t="str">
        <f>+VLOOKUP(A37,'[1]Tárgy kurzusai'!$A:$C,3,0)</f>
        <v>K:13:40-15:10(C 664)</v>
      </c>
      <c r="Z37">
        <f>+VLOOKUP(A37,'[1]Tárgy kurzusai'!$A:$F,6,0)</f>
        <v>3</v>
      </c>
      <c r="AA37" t="s">
        <v>66</v>
      </c>
      <c r="AB37" t="s">
        <v>71</v>
      </c>
      <c r="AC37" t="s">
        <v>72</v>
      </c>
      <c r="AD37" t="s">
        <v>90</v>
      </c>
      <c r="AE37" t="s">
        <v>69</v>
      </c>
      <c r="AF37" t="s">
        <v>54</v>
      </c>
      <c r="AG37" t="s">
        <v>55</v>
      </c>
      <c r="AH37" t="s">
        <v>55</v>
      </c>
      <c r="AI37" t="s">
        <v>55</v>
      </c>
      <c r="AJ37" t="s">
        <v>57</v>
      </c>
      <c r="AK37" t="s">
        <v>79</v>
      </c>
      <c r="AL37" t="s">
        <v>59</v>
      </c>
      <c r="AM37" t="s">
        <v>60</v>
      </c>
      <c r="AN37">
        <v>6</v>
      </c>
      <c r="AO37">
        <v>36</v>
      </c>
      <c r="AP37">
        <v>4</v>
      </c>
      <c r="AQ37">
        <v>4</v>
      </c>
      <c r="AR37" t="s">
        <v>55</v>
      </c>
      <c r="AS37" t="s">
        <v>91</v>
      </c>
      <c r="AT37" t="s">
        <v>55</v>
      </c>
      <c r="AU37" t="s">
        <v>62</v>
      </c>
      <c r="AV37" t="s">
        <v>63</v>
      </c>
      <c r="AW37" t="s">
        <v>60</v>
      </c>
      <c r="AX37" t="s">
        <v>60</v>
      </c>
      <c r="AY37">
        <v>3</v>
      </c>
      <c r="AZ37" t="s">
        <v>64</v>
      </c>
      <c r="BA37">
        <v>8</v>
      </c>
      <c r="BB37">
        <v>5</v>
      </c>
      <c r="BC37" t="s">
        <v>82</v>
      </c>
    </row>
    <row r="38" spans="1:55" ht="16" x14ac:dyDescent="0.2">
      <c r="A38" s="4" t="s">
        <v>4</v>
      </c>
      <c r="B38" s="4" t="s">
        <v>3</v>
      </c>
      <c r="C38" s="5">
        <v>-10.5</v>
      </c>
      <c r="D38" s="5">
        <v>-2.5</v>
      </c>
      <c r="E38" s="5">
        <v>-8</v>
      </c>
      <c r="F38" s="6">
        <v>-16</v>
      </c>
      <c r="G38" s="3" t="e">
        <v>#N/A</v>
      </c>
      <c r="H38">
        <v>0.5</v>
      </c>
      <c r="I38">
        <v>0.75</v>
      </c>
      <c r="J38">
        <v>1</v>
      </c>
      <c r="K38">
        <v>0.5</v>
      </c>
      <c r="L38">
        <v>0.5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f t="shared" si="4"/>
        <v>5.5</v>
      </c>
      <c r="U38">
        <f t="shared" si="5"/>
        <v>13.5</v>
      </c>
      <c r="V38">
        <f t="shared" si="6"/>
        <v>8</v>
      </c>
      <c r="W38">
        <f t="shared" si="7"/>
        <v>0</v>
      </c>
      <c r="X38" t="e">
        <f t="shared" si="8"/>
        <v>#N/A</v>
      </c>
      <c r="Y38" t="str">
        <f>+VLOOKUP(A38,'[1]Tárgy kurzusai'!$A:$C,3,0)</f>
        <v>K:13:40-15:10(C 664)</v>
      </c>
      <c r="Z38">
        <f>+VLOOKUP(A38,'[1]Tárgy kurzusai'!$A:$F,6,0)</f>
        <v>3</v>
      </c>
      <c r="AA38" t="s">
        <v>66</v>
      </c>
      <c r="AB38" t="s">
        <v>71</v>
      </c>
      <c r="AC38" t="s">
        <v>74</v>
      </c>
      <c r="AD38" t="s">
        <v>60</v>
      </c>
      <c r="AE38" t="s">
        <v>69</v>
      </c>
      <c r="AF38" t="s">
        <v>69</v>
      </c>
      <c r="AG38" t="s">
        <v>55</v>
      </c>
      <c r="AH38" t="s">
        <v>55</v>
      </c>
      <c r="AI38" t="s">
        <v>56</v>
      </c>
      <c r="AJ38" t="s">
        <v>60</v>
      </c>
      <c r="AK38" t="s">
        <v>58</v>
      </c>
      <c r="AL38" t="s">
        <v>59</v>
      </c>
      <c r="AM38" t="s">
        <v>60</v>
      </c>
      <c r="AN38">
        <v>5</v>
      </c>
      <c r="AO38">
        <v>30</v>
      </c>
      <c r="AP38">
        <v>5</v>
      </c>
      <c r="AQ38">
        <v>13</v>
      </c>
      <c r="AR38" t="s">
        <v>55</v>
      </c>
      <c r="AS38" t="s">
        <v>61</v>
      </c>
      <c r="AT38" t="s">
        <v>56</v>
      </c>
      <c r="AU38" t="s">
        <v>62</v>
      </c>
      <c r="AV38" t="s">
        <v>63</v>
      </c>
      <c r="AW38" t="s">
        <v>60</v>
      </c>
      <c r="AX38" t="s">
        <v>60</v>
      </c>
      <c r="AY38">
        <v>5</v>
      </c>
      <c r="AZ38" t="s">
        <v>64</v>
      </c>
      <c r="BA38">
        <v>7</v>
      </c>
      <c r="BB38">
        <v>10</v>
      </c>
      <c r="BC38" t="s">
        <v>65</v>
      </c>
    </row>
    <row r="39" spans="1:55" ht="16" x14ac:dyDescent="0.2">
      <c r="A39" s="4" t="s">
        <v>4</v>
      </c>
      <c r="B39" s="4" t="s">
        <v>3</v>
      </c>
      <c r="C39" s="5">
        <v>-10</v>
      </c>
      <c r="D39" s="5">
        <v>-2</v>
      </c>
      <c r="E39" s="5">
        <v>-4.5</v>
      </c>
      <c r="F39" s="5">
        <v>-8</v>
      </c>
      <c r="G39" s="3">
        <v>-12</v>
      </c>
      <c r="H39">
        <v>1</v>
      </c>
      <c r="I39">
        <v>0.75</v>
      </c>
      <c r="J39">
        <v>1</v>
      </c>
      <c r="K39">
        <v>1</v>
      </c>
      <c r="L39">
        <v>0.5</v>
      </c>
      <c r="M39">
        <v>1</v>
      </c>
      <c r="N39">
        <v>0.75</v>
      </c>
      <c r="O39">
        <v>0.9</v>
      </c>
      <c r="P39">
        <v>1</v>
      </c>
      <c r="Q39">
        <v>0.5</v>
      </c>
      <c r="R39">
        <v>0.75</v>
      </c>
      <c r="S39">
        <v>0</v>
      </c>
      <c r="T39">
        <f t="shared" si="4"/>
        <v>6</v>
      </c>
      <c r="U39">
        <f t="shared" si="5"/>
        <v>14</v>
      </c>
      <c r="V39">
        <f t="shared" si="6"/>
        <v>11.5</v>
      </c>
      <c r="W39">
        <f t="shared" si="7"/>
        <v>8</v>
      </c>
      <c r="X39">
        <f t="shared" si="8"/>
        <v>28</v>
      </c>
      <c r="Y39" t="str">
        <f>+VLOOKUP(A39,'[1]Tárgy kurzusai'!$A:$C,3,0)</f>
        <v>K:13:40-15:10(C 664)</v>
      </c>
      <c r="Z39">
        <f>+VLOOKUP(A39,'[1]Tárgy kurzusai'!$A:$F,6,0)</f>
        <v>3</v>
      </c>
      <c r="AA39" t="s">
        <v>49</v>
      </c>
      <c r="AB39" t="s">
        <v>71</v>
      </c>
      <c r="AC39" t="s">
        <v>74</v>
      </c>
      <c r="AD39" t="s">
        <v>60</v>
      </c>
      <c r="AE39" t="s">
        <v>53</v>
      </c>
      <c r="AF39" t="s">
        <v>53</v>
      </c>
      <c r="AG39" t="s">
        <v>55</v>
      </c>
      <c r="AH39" t="s">
        <v>55</v>
      </c>
      <c r="AI39" t="s">
        <v>56</v>
      </c>
      <c r="AJ39" t="s">
        <v>57</v>
      </c>
      <c r="AK39" t="s">
        <v>58</v>
      </c>
      <c r="AL39" t="s">
        <v>59</v>
      </c>
      <c r="AM39" t="s">
        <v>60</v>
      </c>
      <c r="AN39">
        <v>6</v>
      </c>
      <c r="AO39">
        <v>30</v>
      </c>
      <c r="AP39">
        <v>5</v>
      </c>
      <c r="AQ39">
        <v>11</v>
      </c>
      <c r="AR39" t="s">
        <v>55</v>
      </c>
      <c r="AS39" t="s">
        <v>55</v>
      </c>
      <c r="AT39" t="s">
        <v>56</v>
      </c>
      <c r="AU39" t="s">
        <v>62</v>
      </c>
      <c r="AV39" t="s">
        <v>63</v>
      </c>
      <c r="AW39" t="s">
        <v>60</v>
      </c>
      <c r="AX39" t="s">
        <v>60</v>
      </c>
      <c r="AY39">
        <v>3</v>
      </c>
      <c r="AZ39" t="s">
        <v>64</v>
      </c>
      <c r="BA39">
        <v>8</v>
      </c>
      <c r="BB39">
        <v>9</v>
      </c>
      <c r="BC39" t="s">
        <v>82</v>
      </c>
    </row>
    <row r="40" spans="1:55" ht="16" x14ac:dyDescent="0.2">
      <c r="A40" s="4" t="s">
        <v>4</v>
      </c>
      <c r="B40" s="4" t="s">
        <v>3</v>
      </c>
      <c r="C40" s="5">
        <v>-6</v>
      </c>
      <c r="D40" s="5">
        <v>-11</v>
      </c>
      <c r="E40" s="5">
        <v>-4.5</v>
      </c>
      <c r="F40" s="5">
        <v>-6</v>
      </c>
      <c r="G40" s="3" t="e">
        <v>#N/A</v>
      </c>
      <c r="H40">
        <v>1</v>
      </c>
      <c r="I40">
        <v>1</v>
      </c>
      <c r="J40">
        <v>1</v>
      </c>
      <c r="K40">
        <v>1</v>
      </c>
      <c r="L40">
        <v>1</v>
      </c>
      <c r="M40">
        <v>0.75</v>
      </c>
      <c r="N40">
        <v>1</v>
      </c>
      <c r="O40">
        <v>0.33</v>
      </c>
      <c r="P40">
        <v>1</v>
      </c>
      <c r="Q40">
        <v>0</v>
      </c>
      <c r="R40">
        <v>0.25</v>
      </c>
      <c r="S40">
        <v>0</v>
      </c>
      <c r="T40">
        <f t="shared" si="4"/>
        <v>10</v>
      </c>
      <c r="U40">
        <f t="shared" si="5"/>
        <v>5</v>
      </c>
      <c r="V40">
        <f t="shared" si="6"/>
        <v>11.5</v>
      </c>
      <c r="W40">
        <f t="shared" si="7"/>
        <v>10</v>
      </c>
      <c r="X40" t="e">
        <f t="shared" si="8"/>
        <v>#N/A</v>
      </c>
      <c r="Y40" t="str">
        <f>+VLOOKUP(A40,'[1]Tárgy kurzusai'!$A:$C,3,0)</f>
        <v>K:13:40-15:10(C 664)</v>
      </c>
      <c r="Z40">
        <f>+VLOOKUP(A40,'[1]Tárgy kurzusai'!$A:$F,6,0)</f>
        <v>3</v>
      </c>
      <c r="AA40" t="s">
        <v>49</v>
      </c>
      <c r="AB40" t="s">
        <v>50</v>
      </c>
      <c r="AC40" t="s">
        <v>72</v>
      </c>
      <c r="AD40" t="s">
        <v>92</v>
      </c>
      <c r="AE40" t="s">
        <v>53</v>
      </c>
      <c r="AF40" t="s">
        <v>53</v>
      </c>
      <c r="AG40" t="s">
        <v>56</v>
      </c>
      <c r="AH40" t="s">
        <v>55</v>
      </c>
      <c r="AI40" t="s">
        <v>55</v>
      </c>
      <c r="AJ40" t="s">
        <v>57</v>
      </c>
      <c r="AK40" t="s">
        <v>58</v>
      </c>
      <c r="AL40" t="s">
        <v>59</v>
      </c>
      <c r="AM40" t="s">
        <v>60</v>
      </c>
      <c r="AN40">
        <v>7</v>
      </c>
      <c r="AO40">
        <v>36</v>
      </c>
      <c r="AP40">
        <v>5</v>
      </c>
      <c r="AQ40">
        <v>13</v>
      </c>
      <c r="AR40" t="s">
        <v>55</v>
      </c>
      <c r="AS40" t="s">
        <v>61</v>
      </c>
      <c r="AT40" t="s">
        <v>55</v>
      </c>
      <c r="AU40" t="s">
        <v>62</v>
      </c>
      <c r="AV40" t="s">
        <v>63</v>
      </c>
      <c r="AW40" t="s">
        <v>60</v>
      </c>
      <c r="AX40" t="s">
        <v>60</v>
      </c>
      <c r="AY40">
        <v>3</v>
      </c>
      <c r="AZ40" t="s">
        <v>64</v>
      </c>
      <c r="BA40">
        <v>7</v>
      </c>
      <c r="BB40">
        <v>6</v>
      </c>
      <c r="BC40" t="s">
        <v>70</v>
      </c>
    </row>
    <row r="41" spans="1:55" ht="16" x14ac:dyDescent="0.2">
      <c r="A41" s="4" t="s">
        <v>4</v>
      </c>
      <c r="B41" s="4" t="s">
        <v>3</v>
      </c>
      <c r="C41" s="5">
        <v>-8</v>
      </c>
      <c r="D41" s="5">
        <v>-11</v>
      </c>
      <c r="E41" s="5">
        <v>-3.5</v>
      </c>
      <c r="F41" s="5">
        <v>-6</v>
      </c>
      <c r="G41" s="3">
        <v>-26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0.5</v>
      </c>
      <c r="P41">
        <v>1</v>
      </c>
      <c r="Q41">
        <v>0.25</v>
      </c>
      <c r="R41">
        <v>1</v>
      </c>
      <c r="S41">
        <v>1</v>
      </c>
      <c r="T41">
        <f t="shared" si="4"/>
        <v>8</v>
      </c>
      <c r="U41">
        <f t="shared" si="5"/>
        <v>5</v>
      </c>
      <c r="V41">
        <f t="shared" si="6"/>
        <v>12.5</v>
      </c>
      <c r="W41">
        <f t="shared" si="7"/>
        <v>10</v>
      </c>
      <c r="X41">
        <f t="shared" si="8"/>
        <v>14</v>
      </c>
      <c r="Y41" t="str">
        <f>+VLOOKUP(A41,'[1]Tárgy kurzusai'!$A:$C,3,0)</f>
        <v>K:13:40-15:10(C 664)</v>
      </c>
      <c r="Z41">
        <f>+VLOOKUP(A41,'[1]Tárgy kurzusai'!$A:$F,6,0)</f>
        <v>3</v>
      </c>
      <c r="AA41" t="s">
        <v>49</v>
      </c>
      <c r="AB41" t="s">
        <v>71</v>
      </c>
      <c r="AC41" t="s">
        <v>74</v>
      </c>
      <c r="AD41" t="s">
        <v>60</v>
      </c>
      <c r="AE41" t="s">
        <v>69</v>
      </c>
      <c r="AF41" t="s">
        <v>53</v>
      </c>
      <c r="AG41" t="s">
        <v>55</v>
      </c>
      <c r="AH41" t="s">
        <v>55</v>
      </c>
      <c r="AI41" t="s">
        <v>55</v>
      </c>
      <c r="AJ41" t="s">
        <v>57</v>
      </c>
      <c r="AK41" t="s">
        <v>79</v>
      </c>
      <c r="AL41" t="s">
        <v>59</v>
      </c>
      <c r="AM41" t="s">
        <v>60</v>
      </c>
      <c r="AN41">
        <v>6</v>
      </c>
      <c r="AO41">
        <v>30</v>
      </c>
      <c r="AP41">
        <v>5</v>
      </c>
      <c r="AQ41">
        <v>24</v>
      </c>
      <c r="AR41" t="s">
        <v>55</v>
      </c>
      <c r="AS41" t="s">
        <v>55</v>
      </c>
      <c r="AT41" t="s">
        <v>55</v>
      </c>
      <c r="AU41" t="s">
        <v>62</v>
      </c>
      <c r="AV41" t="s">
        <v>63</v>
      </c>
      <c r="AW41" t="s">
        <v>60</v>
      </c>
      <c r="AX41" t="s">
        <v>60</v>
      </c>
      <c r="AY41">
        <v>3</v>
      </c>
      <c r="AZ41" t="s">
        <v>64</v>
      </c>
      <c r="BA41">
        <v>4</v>
      </c>
      <c r="BB41">
        <v>6</v>
      </c>
      <c r="BC41" t="s">
        <v>65</v>
      </c>
    </row>
    <row r="42" spans="1:55" ht="16" x14ac:dyDescent="0.2">
      <c r="A42" s="4" t="s">
        <v>4</v>
      </c>
      <c r="B42" s="4" t="s">
        <v>3</v>
      </c>
      <c r="C42" s="5">
        <v>-10</v>
      </c>
      <c r="D42" s="5">
        <v>-9</v>
      </c>
      <c r="E42" s="6">
        <v>-16</v>
      </c>
      <c r="F42" s="6">
        <v>-16</v>
      </c>
      <c r="G42" s="3" t="e">
        <v>#N/A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0.5</v>
      </c>
      <c r="O42">
        <v>0</v>
      </c>
      <c r="P42">
        <v>0.5</v>
      </c>
      <c r="Q42">
        <v>0</v>
      </c>
      <c r="R42">
        <v>0</v>
      </c>
      <c r="S42">
        <v>0</v>
      </c>
      <c r="T42">
        <f t="shared" si="4"/>
        <v>6</v>
      </c>
      <c r="U42">
        <f t="shared" si="5"/>
        <v>7</v>
      </c>
      <c r="V42">
        <f t="shared" si="6"/>
        <v>0</v>
      </c>
      <c r="W42">
        <f t="shared" si="7"/>
        <v>0</v>
      </c>
      <c r="X42" t="e">
        <f t="shared" si="8"/>
        <v>#N/A</v>
      </c>
      <c r="Y42" t="str">
        <f>+VLOOKUP(A42,'[1]Tárgy kurzusai'!$A:$C,3,0)</f>
        <v>K:13:40-15:10(C 664)</v>
      </c>
      <c r="Z42">
        <f>+VLOOKUP(A42,'[1]Tárgy kurzusai'!$A:$F,6,0)</f>
        <v>3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</row>
    <row r="43" spans="1:55" ht="16" x14ac:dyDescent="0.2">
      <c r="A43" s="4" t="s">
        <v>4</v>
      </c>
      <c r="B43" s="4" t="s">
        <v>3</v>
      </c>
      <c r="C43" s="5">
        <v>-5</v>
      </c>
      <c r="D43" s="5">
        <v>-9</v>
      </c>
      <c r="E43" s="5">
        <v>-2</v>
      </c>
      <c r="F43" s="5">
        <v>-4</v>
      </c>
      <c r="G43" s="3">
        <v>-12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0.75</v>
      </c>
      <c r="R43">
        <v>1</v>
      </c>
      <c r="S43">
        <v>1</v>
      </c>
      <c r="T43">
        <f t="shared" si="4"/>
        <v>11</v>
      </c>
      <c r="U43">
        <f t="shared" si="5"/>
        <v>7</v>
      </c>
      <c r="V43">
        <f t="shared" si="6"/>
        <v>14</v>
      </c>
      <c r="W43">
        <f t="shared" si="7"/>
        <v>12</v>
      </c>
      <c r="X43">
        <f t="shared" si="8"/>
        <v>28</v>
      </c>
      <c r="Y43" t="str">
        <f>+VLOOKUP(A43,'[1]Tárgy kurzusai'!$A:$C,3,0)</f>
        <v>K:13:40-15:10(C 664)</v>
      </c>
      <c r="Z43">
        <f>+VLOOKUP(A43,'[1]Tárgy kurzusai'!$A:$F,6,0)</f>
        <v>3</v>
      </c>
      <c r="AA43" t="s">
        <v>49</v>
      </c>
      <c r="AB43" t="s">
        <v>71</v>
      </c>
      <c r="AC43" t="s">
        <v>51</v>
      </c>
      <c r="AD43" t="s">
        <v>93</v>
      </c>
      <c r="AE43" t="s">
        <v>53</v>
      </c>
      <c r="AF43" t="s">
        <v>53</v>
      </c>
      <c r="AG43" t="s">
        <v>55</v>
      </c>
      <c r="AH43" t="s">
        <v>55</v>
      </c>
      <c r="AI43" t="s">
        <v>55</v>
      </c>
      <c r="AJ43" t="s">
        <v>57</v>
      </c>
      <c r="AK43" t="s">
        <v>58</v>
      </c>
      <c r="AL43" t="s">
        <v>59</v>
      </c>
      <c r="AM43" t="s">
        <v>60</v>
      </c>
      <c r="AN43">
        <v>7</v>
      </c>
      <c r="AO43">
        <v>33</v>
      </c>
      <c r="AP43">
        <v>5</v>
      </c>
      <c r="AQ43">
        <v>13</v>
      </c>
      <c r="AR43" t="s">
        <v>55</v>
      </c>
      <c r="AS43" t="s">
        <v>61</v>
      </c>
      <c r="AT43" t="s">
        <v>56</v>
      </c>
      <c r="AU43" t="s">
        <v>62</v>
      </c>
      <c r="AV43" t="s">
        <v>63</v>
      </c>
      <c r="AW43" t="s">
        <v>60</v>
      </c>
      <c r="AX43" t="s">
        <v>60</v>
      </c>
      <c r="AY43">
        <v>3</v>
      </c>
      <c r="AZ43" t="s">
        <v>64</v>
      </c>
      <c r="BA43">
        <v>7</v>
      </c>
      <c r="BB43">
        <v>10</v>
      </c>
      <c r="BC43" t="s">
        <v>70</v>
      </c>
    </row>
    <row r="44" spans="1:55" ht="16" x14ac:dyDescent="0.2">
      <c r="A44" s="4" t="s">
        <v>4</v>
      </c>
      <c r="B44" s="4" t="s">
        <v>3</v>
      </c>
      <c r="C44" s="5">
        <v>-7.5</v>
      </c>
      <c r="D44" s="5">
        <v>-4</v>
      </c>
      <c r="E44" s="5">
        <v>-5</v>
      </c>
      <c r="F44" s="5">
        <v>-5.5</v>
      </c>
      <c r="G44" s="3">
        <v>-18.5</v>
      </c>
      <c r="H44">
        <v>1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0.75</v>
      </c>
      <c r="R44">
        <v>1</v>
      </c>
      <c r="S44">
        <v>1</v>
      </c>
      <c r="T44">
        <f t="shared" si="4"/>
        <v>8.5</v>
      </c>
      <c r="U44">
        <f t="shared" si="5"/>
        <v>12</v>
      </c>
      <c r="V44">
        <f t="shared" si="6"/>
        <v>11</v>
      </c>
      <c r="W44">
        <f t="shared" si="7"/>
        <v>10.5</v>
      </c>
      <c r="X44">
        <f t="shared" si="8"/>
        <v>21.5</v>
      </c>
      <c r="Y44" t="str">
        <f>+VLOOKUP(A44,'[1]Tárgy kurzusai'!$A:$C,3,0)</f>
        <v>K:13:40-15:10(C 664)</v>
      </c>
      <c r="Z44">
        <f>+VLOOKUP(A44,'[1]Tárgy kurzusai'!$A:$F,6,0)</f>
        <v>3</v>
      </c>
      <c r="AA44" t="s">
        <v>49</v>
      </c>
      <c r="AB44" t="s">
        <v>71</v>
      </c>
      <c r="AC44" t="s">
        <v>51</v>
      </c>
      <c r="AD44" t="s">
        <v>68</v>
      </c>
      <c r="AE44" t="s">
        <v>69</v>
      </c>
      <c r="AF44" t="s">
        <v>53</v>
      </c>
      <c r="AG44" t="s">
        <v>55</v>
      </c>
      <c r="AH44" t="s">
        <v>55</v>
      </c>
      <c r="AI44" t="s">
        <v>55</v>
      </c>
      <c r="AJ44" t="s">
        <v>57</v>
      </c>
      <c r="AK44" t="s">
        <v>58</v>
      </c>
      <c r="AL44" t="s">
        <v>59</v>
      </c>
      <c r="AM44" t="s">
        <v>60</v>
      </c>
      <c r="AN44">
        <v>8</v>
      </c>
      <c r="AO44">
        <v>37</v>
      </c>
      <c r="AP44">
        <v>5</v>
      </c>
      <c r="AQ44">
        <v>3</v>
      </c>
      <c r="AR44" t="s">
        <v>55</v>
      </c>
      <c r="AS44" t="s">
        <v>55</v>
      </c>
      <c r="AT44" t="s">
        <v>55</v>
      </c>
      <c r="AU44" t="s">
        <v>62</v>
      </c>
      <c r="AV44" t="s">
        <v>63</v>
      </c>
      <c r="AW44" t="s">
        <v>60</v>
      </c>
      <c r="AX44" t="s">
        <v>60</v>
      </c>
      <c r="AY44">
        <v>4</v>
      </c>
      <c r="AZ44" t="s">
        <v>64</v>
      </c>
      <c r="BA44">
        <v>6</v>
      </c>
      <c r="BB44">
        <v>5</v>
      </c>
      <c r="BC44" t="s">
        <v>76</v>
      </c>
    </row>
    <row r="45" spans="1:55" ht="16" x14ac:dyDescent="0.2">
      <c r="A45" s="4" t="s">
        <v>4</v>
      </c>
      <c r="B45" s="4" t="s">
        <v>3</v>
      </c>
      <c r="C45" s="5">
        <v>0</v>
      </c>
      <c r="D45" s="5">
        <v>-10</v>
      </c>
      <c r="E45" s="5">
        <v>-10</v>
      </c>
      <c r="F45" s="5">
        <v>-4</v>
      </c>
      <c r="G45" s="3">
        <v>-15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0.67</v>
      </c>
      <c r="P45">
        <v>1</v>
      </c>
      <c r="Q45">
        <v>0.25</v>
      </c>
      <c r="R45">
        <v>1</v>
      </c>
      <c r="S45">
        <v>1</v>
      </c>
      <c r="T45">
        <f t="shared" si="4"/>
        <v>16</v>
      </c>
      <c r="U45">
        <f t="shared" si="5"/>
        <v>6</v>
      </c>
      <c r="V45">
        <f t="shared" si="6"/>
        <v>6</v>
      </c>
      <c r="W45">
        <f t="shared" si="7"/>
        <v>12</v>
      </c>
      <c r="X45">
        <f t="shared" si="8"/>
        <v>25</v>
      </c>
      <c r="Y45" t="str">
        <f>+VLOOKUP(A45,'[1]Tárgy kurzusai'!$A:$C,3,0)</f>
        <v>K:13:40-15:10(C 664)</v>
      </c>
      <c r="Z45">
        <f>+VLOOKUP(A45,'[1]Tárgy kurzusai'!$A:$F,6,0)</f>
        <v>3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</row>
    <row r="46" spans="1:55" ht="16" x14ac:dyDescent="0.2">
      <c r="A46" s="4" t="s">
        <v>4</v>
      </c>
      <c r="B46" s="4" t="s">
        <v>3</v>
      </c>
      <c r="C46" s="5">
        <v>-7</v>
      </c>
      <c r="D46" s="5">
        <v>-1.5</v>
      </c>
      <c r="E46" s="5">
        <v>-3</v>
      </c>
      <c r="F46" s="5">
        <v>-2</v>
      </c>
      <c r="G46" s="3">
        <v>-8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f t="shared" si="4"/>
        <v>9</v>
      </c>
      <c r="U46">
        <f t="shared" si="5"/>
        <v>14.5</v>
      </c>
      <c r="V46">
        <f t="shared" si="6"/>
        <v>13</v>
      </c>
      <c r="W46">
        <f t="shared" si="7"/>
        <v>14</v>
      </c>
      <c r="X46">
        <f t="shared" si="8"/>
        <v>32</v>
      </c>
      <c r="Y46" t="str">
        <f>+VLOOKUP(A46,'[1]Tárgy kurzusai'!$A:$C,3,0)</f>
        <v>K:13:40-15:10(C 664)</v>
      </c>
      <c r="Z46">
        <f>+VLOOKUP(A46,'[1]Tárgy kurzusai'!$A:$F,6,0)</f>
        <v>3</v>
      </c>
      <c r="AA46" t="s">
        <v>66</v>
      </c>
      <c r="AB46" t="s">
        <v>80</v>
      </c>
      <c r="AC46" t="s">
        <v>51</v>
      </c>
      <c r="AD46" t="s">
        <v>68</v>
      </c>
      <c r="AE46" t="s">
        <v>69</v>
      </c>
      <c r="AF46" t="s">
        <v>69</v>
      </c>
      <c r="AG46" t="s">
        <v>55</v>
      </c>
      <c r="AH46" t="s">
        <v>55</v>
      </c>
      <c r="AI46" t="s">
        <v>55</v>
      </c>
      <c r="AJ46" t="s">
        <v>60</v>
      </c>
      <c r="AK46" t="s">
        <v>79</v>
      </c>
      <c r="AL46" t="s">
        <v>59</v>
      </c>
      <c r="AM46" t="s">
        <v>60</v>
      </c>
      <c r="AN46">
        <v>6</v>
      </c>
      <c r="AO46">
        <v>34</v>
      </c>
      <c r="AP46">
        <v>5</v>
      </c>
      <c r="AQ46">
        <v>13</v>
      </c>
      <c r="AR46" t="s">
        <v>55</v>
      </c>
      <c r="AS46" t="s">
        <v>61</v>
      </c>
      <c r="AT46" t="s">
        <v>56</v>
      </c>
      <c r="AU46" t="s">
        <v>62</v>
      </c>
      <c r="AV46" t="s">
        <v>63</v>
      </c>
      <c r="AW46" t="s">
        <v>60</v>
      </c>
      <c r="AX46" t="s">
        <v>60</v>
      </c>
      <c r="AY46">
        <v>3</v>
      </c>
      <c r="AZ46" t="s">
        <v>64</v>
      </c>
      <c r="BA46">
        <v>7</v>
      </c>
      <c r="BB46">
        <v>8</v>
      </c>
      <c r="BC46" t="s">
        <v>65</v>
      </c>
    </row>
    <row r="47" spans="1:55" ht="16" x14ac:dyDescent="0.2">
      <c r="A47" s="4" t="s">
        <v>4</v>
      </c>
      <c r="B47" s="4" t="s">
        <v>3</v>
      </c>
      <c r="C47" s="5">
        <v>-14</v>
      </c>
      <c r="D47" s="5">
        <v>-11</v>
      </c>
      <c r="E47" s="6">
        <v>-16</v>
      </c>
      <c r="F47" s="6">
        <v>-16</v>
      </c>
      <c r="G47" s="3">
        <v>0</v>
      </c>
      <c r="H47">
        <v>1</v>
      </c>
      <c r="I47">
        <v>0.5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f t="shared" si="4"/>
        <v>2</v>
      </c>
      <c r="U47">
        <f t="shared" si="5"/>
        <v>5</v>
      </c>
      <c r="V47">
        <f t="shared" si="6"/>
        <v>0</v>
      </c>
      <c r="W47">
        <f t="shared" si="7"/>
        <v>0</v>
      </c>
      <c r="X47">
        <f t="shared" si="8"/>
        <v>40</v>
      </c>
      <c r="Y47" t="str">
        <f>+VLOOKUP(A47,'[1]Tárgy kurzusai'!$A:$C,3,0)</f>
        <v>K:13:40-15:10(C 664)</v>
      </c>
      <c r="Z47">
        <f>+VLOOKUP(A47,'[1]Tárgy kurzusai'!$A:$F,6,0)</f>
        <v>3</v>
      </c>
      <c r="AA47" t="s">
        <v>66</v>
      </c>
      <c r="AB47" t="s">
        <v>71</v>
      </c>
      <c r="AC47" t="s">
        <v>72</v>
      </c>
      <c r="AD47" t="s">
        <v>90</v>
      </c>
      <c r="AE47" t="s">
        <v>53</v>
      </c>
      <c r="AF47" t="s">
        <v>69</v>
      </c>
      <c r="AG47" t="s">
        <v>56</v>
      </c>
      <c r="AH47" t="s">
        <v>55</v>
      </c>
      <c r="AI47" t="s">
        <v>56</v>
      </c>
      <c r="AJ47" t="s">
        <v>57</v>
      </c>
      <c r="AK47" t="s">
        <v>58</v>
      </c>
      <c r="AL47" t="s">
        <v>59</v>
      </c>
      <c r="AM47" t="s">
        <v>60</v>
      </c>
      <c r="AN47">
        <v>9</v>
      </c>
      <c r="AO47">
        <v>40</v>
      </c>
      <c r="AP47">
        <v>4</v>
      </c>
      <c r="AQ47">
        <v>5</v>
      </c>
      <c r="AR47" t="s">
        <v>55</v>
      </c>
      <c r="AS47" t="s">
        <v>55</v>
      </c>
      <c r="AT47" t="s">
        <v>56</v>
      </c>
      <c r="AU47" t="s">
        <v>62</v>
      </c>
      <c r="AV47" t="s">
        <v>63</v>
      </c>
      <c r="AW47" t="s">
        <v>60</v>
      </c>
      <c r="AX47" t="s">
        <v>60</v>
      </c>
      <c r="AY47">
        <v>5</v>
      </c>
      <c r="AZ47" t="s">
        <v>64</v>
      </c>
      <c r="BA47">
        <v>6</v>
      </c>
      <c r="BB47">
        <v>6</v>
      </c>
      <c r="BC47" t="s">
        <v>65</v>
      </c>
    </row>
    <row r="48" spans="1:55" ht="16" x14ac:dyDescent="0.2">
      <c r="A48" s="4" t="s">
        <v>4</v>
      </c>
      <c r="B48" s="4" t="s">
        <v>3</v>
      </c>
      <c r="C48" s="5">
        <v>-1</v>
      </c>
      <c r="D48" s="5">
        <v>-6.5</v>
      </c>
      <c r="E48" s="5">
        <v>0</v>
      </c>
      <c r="F48" s="5">
        <v>-2</v>
      </c>
      <c r="G48" s="3">
        <v>-9</v>
      </c>
      <c r="H48">
        <v>1</v>
      </c>
      <c r="I48">
        <v>1</v>
      </c>
      <c r="J48">
        <v>1</v>
      </c>
      <c r="K48">
        <v>1</v>
      </c>
      <c r="L48">
        <v>0.5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f t="shared" si="4"/>
        <v>15</v>
      </c>
      <c r="U48">
        <f t="shared" si="5"/>
        <v>9.5</v>
      </c>
      <c r="V48">
        <f t="shared" si="6"/>
        <v>16</v>
      </c>
      <c r="W48">
        <f t="shared" si="7"/>
        <v>14</v>
      </c>
      <c r="X48">
        <f t="shared" si="8"/>
        <v>31</v>
      </c>
      <c r="Y48" t="str">
        <f>+VLOOKUP(A48,'[1]Tárgy kurzusai'!$A:$C,3,0)</f>
        <v>K:13:40-15:10(C 664)</v>
      </c>
      <c r="Z48">
        <f>+VLOOKUP(A48,'[1]Tárgy kurzusai'!$A:$F,6,0)</f>
        <v>3</v>
      </c>
      <c r="AA48" t="s">
        <v>49</v>
      </c>
      <c r="AB48" t="s">
        <v>71</v>
      </c>
      <c r="AC48" t="s">
        <v>72</v>
      </c>
      <c r="AD48" t="s">
        <v>94</v>
      </c>
      <c r="AE48" t="s">
        <v>95</v>
      </c>
      <c r="AF48" t="s">
        <v>54</v>
      </c>
      <c r="AG48" t="s">
        <v>56</v>
      </c>
      <c r="AH48" t="s">
        <v>56</v>
      </c>
      <c r="AI48" t="s">
        <v>55</v>
      </c>
      <c r="AJ48" t="s">
        <v>57</v>
      </c>
      <c r="AK48" t="s">
        <v>58</v>
      </c>
      <c r="AL48" t="s">
        <v>59</v>
      </c>
      <c r="AM48" t="s">
        <v>60</v>
      </c>
      <c r="AN48">
        <v>6</v>
      </c>
      <c r="AO48">
        <v>30</v>
      </c>
      <c r="AP48">
        <v>5</v>
      </c>
      <c r="AQ48">
        <v>5</v>
      </c>
      <c r="AR48" t="s">
        <v>55</v>
      </c>
      <c r="AS48" t="s">
        <v>55</v>
      </c>
      <c r="AT48" t="s">
        <v>55</v>
      </c>
      <c r="AU48" t="s">
        <v>62</v>
      </c>
      <c r="AV48" t="s">
        <v>63</v>
      </c>
      <c r="AW48" t="s">
        <v>60</v>
      </c>
      <c r="AX48" t="s">
        <v>60</v>
      </c>
      <c r="AY48">
        <v>4</v>
      </c>
      <c r="AZ48" t="s">
        <v>64</v>
      </c>
      <c r="BA48">
        <v>7</v>
      </c>
      <c r="BB48">
        <v>7</v>
      </c>
      <c r="BC48" t="s">
        <v>76</v>
      </c>
    </row>
    <row r="49" spans="1:55" ht="16" x14ac:dyDescent="0.2">
      <c r="A49" s="4" t="s">
        <v>4</v>
      </c>
      <c r="B49" s="4" t="s">
        <v>3</v>
      </c>
      <c r="C49" s="5">
        <v>-7</v>
      </c>
      <c r="D49" s="5">
        <v>-12</v>
      </c>
      <c r="E49" s="5">
        <v>-4.5</v>
      </c>
      <c r="F49" s="5">
        <v>-6.5</v>
      </c>
      <c r="G49" s="3" t="e">
        <v>#N/A</v>
      </c>
      <c r="H49">
        <v>1</v>
      </c>
      <c r="I49">
        <v>1</v>
      </c>
      <c r="J49">
        <v>1</v>
      </c>
      <c r="K49">
        <v>1</v>
      </c>
      <c r="L49">
        <v>0.5</v>
      </c>
      <c r="M49">
        <v>1</v>
      </c>
      <c r="N49">
        <v>0.75</v>
      </c>
      <c r="O49">
        <v>0</v>
      </c>
      <c r="P49">
        <v>0</v>
      </c>
      <c r="Q49">
        <v>0.25</v>
      </c>
      <c r="R49">
        <v>0.75</v>
      </c>
      <c r="S49">
        <v>1</v>
      </c>
      <c r="T49">
        <f t="shared" si="4"/>
        <v>9</v>
      </c>
      <c r="U49">
        <f t="shared" si="5"/>
        <v>4</v>
      </c>
      <c r="V49">
        <f t="shared" si="6"/>
        <v>11.5</v>
      </c>
      <c r="W49">
        <f t="shared" si="7"/>
        <v>9.5</v>
      </c>
      <c r="X49" t="e">
        <f t="shared" si="8"/>
        <v>#N/A</v>
      </c>
      <c r="Y49" t="str">
        <f>+VLOOKUP(A49,'[1]Tárgy kurzusai'!$A:$C,3,0)</f>
        <v>K:13:40-15:10(C 664)</v>
      </c>
      <c r="Z49">
        <f>+VLOOKUP(A49,'[1]Tárgy kurzusai'!$A:$F,6,0)</f>
        <v>3</v>
      </c>
      <c r="AA49" t="s">
        <v>66</v>
      </c>
      <c r="AB49" t="s">
        <v>71</v>
      </c>
      <c r="AC49" t="s">
        <v>74</v>
      </c>
      <c r="AD49" t="s">
        <v>60</v>
      </c>
      <c r="AE49" t="s">
        <v>69</v>
      </c>
      <c r="AF49" t="s">
        <v>54</v>
      </c>
      <c r="AG49" t="s">
        <v>55</v>
      </c>
      <c r="AH49" t="s">
        <v>55</v>
      </c>
      <c r="AI49" t="s">
        <v>55</v>
      </c>
      <c r="AJ49" t="s">
        <v>57</v>
      </c>
      <c r="AK49" t="s">
        <v>58</v>
      </c>
      <c r="AL49" t="s">
        <v>59</v>
      </c>
      <c r="AM49" t="s">
        <v>60</v>
      </c>
      <c r="AN49">
        <v>7</v>
      </c>
      <c r="AO49">
        <v>31</v>
      </c>
      <c r="AP49">
        <v>4</v>
      </c>
      <c r="AQ49">
        <v>5</v>
      </c>
      <c r="AR49" t="s">
        <v>55</v>
      </c>
      <c r="AS49" t="s">
        <v>61</v>
      </c>
      <c r="AT49" t="s">
        <v>56</v>
      </c>
      <c r="AU49" t="s">
        <v>62</v>
      </c>
      <c r="AV49" t="s">
        <v>63</v>
      </c>
      <c r="AW49" t="s">
        <v>60</v>
      </c>
      <c r="AX49" t="s">
        <v>60</v>
      </c>
      <c r="AY49">
        <v>2</v>
      </c>
      <c r="AZ49" t="s">
        <v>78</v>
      </c>
      <c r="BA49">
        <v>8</v>
      </c>
      <c r="BB49">
        <v>9</v>
      </c>
      <c r="BC49" t="s">
        <v>70</v>
      </c>
    </row>
    <row r="50" spans="1:55" ht="16" x14ac:dyDescent="0.2">
      <c r="A50" s="4" t="s">
        <v>4</v>
      </c>
      <c r="B50" s="4" t="s">
        <v>3</v>
      </c>
      <c r="C50" s="5">
        <v>-10</v>
      </c>
      <c r="D50" s="5">
        <v>-9</v>
      </c>
      <c r="E50" s="5">
        <v>0</v>
      </c>
      <c r="F50" s="5">
        <v>-5</v>
      </c>
      <c r="G50" s="3">
        <v>-7.5</v>
      </c>
      <c r="H50">
        <v>1</v>
      </c>
      <c r="I50">
        <v>1</v>
      </c>
      <c r="J50">
        <v>0.75</v>
      </c>
      <c r="K50">
        <v>1</v>
      </c>
      <c r="L50">
        <v>0</v>
      </c>
      <c r="M50">
        <v>1</v>
      </c>
      <c r="N50">
        <v>1</v>
      </c>
      <c r="O50">
        <v>0.83</v>
      </c>
      <c r="P50">
        <v>1</v>
      </c>
      <c r="Q50">
        <v>0.5</v>
      </c>
      <c r="R50">
        <v>1</v>
      </c>
      <c r="S50">
        <v>1</v>
      </c>
      <c r="T50">
        <f t="shared" si="4"/>
        <v>6</v>
      </c>
      <c r="U50">
        <f t="shared" si="5"/>
        <v>7</v>
      </c>
      <c r="V50">
        <f t="shared" si="6"/>
        <v>16</v>
      </c>
      <c r="W50">
        <f t="shared" si="7"/>
        <v>11</v>
      </c>
      <c r="X50">
        <f t="shared" si="8"/>
        <v>32.5</v>
      </c>
      <c r="Y50" t="str">
        <f>+VLOOKUP(A50,'[1]Tárgy kurzusai'!$A:$C,3,0)</f>
        <v>K:13:40-15:10(C 664)</v>
      </c>
      <c r="Z50">
        <f>+VLOOKUP(A50,'[1]Tárgy kurzusai'!$A:$F,6,0)</f>
        <v>3</v>
      </c>
      <c r="AA50" t="s">
        <v>66</v>
      </c>
      <c r="AB50" t="s">
        <v>71</v>
      </c>
      <c r="AC50" t="s">
        <v>74</v>
      </c>
      <c r="AD50" t="s">
        <v>60</v>
      </c>
      <c r="AE50" t="s">
        <v>60</v>
      </c>
      <c r="AF50" t="s">
        <v>69</v>
      </c>
      <c r="AG50" t="s">
        <v>55</v>
      </c>
      <c r="AH50" t="s">
        <v>55</v>
      </c>
      <c r="AI50" t="s">
        <v>55</v>
      </c>
      <c r="AJ50" t="s">
        <v>57</v>
      </c>
      <c r="AK50" t="s">
        <v>79</v>
      </c>
      <c r="AL50" t="s">
        <v>59</v>
      </c>
      <c r="AM50" t="s">
        <v>60</v>
      </c>
      <c r="AN50">
        <v>6</v>
      </c>
      <c r="AO50">
        <v>34</v>
      </c>
      <c r="AP50">
        <v>5</v>
      </c>
      <c r="AQ50">
        <v>3</v>
      </c>
      <c r="AR50" t="s">
        <v>55</v>
      </c>
      <c r="AS50" t="s">
        <v>55</v>
      </c>
      <c r="AT50" t="s">
        <v>56</v>
      </c>
      <c r="AU50" t="s">
        <v>62</v>
      </c>
      <c r="AV50" t="s">
        <v>63</v>
      </c>
      <c r="AW50" t="s">
        <v>60</v>
      </c>
      <c r="AX50" t="s">
        <v>60</v>
      </c>
      <c r="AY50">
        <v>4</v>
      </c>
      <c r="AZ50" t="s">
        <v>64</v>
      </c>
      <c r="BA50">
        <v>5</v>
      </c>
      <c r="BB50">
        <v>8</v>
      </c>
      <c r="BC50" t="s">
        <v>70</v>
      </c>
    </row>
    <row r="51" spans="1:55" ht="16" x14ac:dyDescent="0.2">
      <c r="A51" s="4" t="s">
        <v>4</v>
      </c>
      <c r="B51" s="4" t="s">
        <v>3</v>
      </c>
      <c r="C51" s="5">
        <v>-16</v>
      </c>
      <c r="D51" s="5">
        <v>-14</v>
      </c>
      <c r="E51" s="5">
        <v>-13</v>
      </c>
      <c r="F51" s="5">
        <v>-7.5</v>
      </c>
      <c r="G51" s="3" t="e">
        <v>#N/A</v>
      </c>
      <c r="H51">
        <v>1</v>
      </c>
      <c r="I51">
        <v>1</v>
      </c>
      <c r="J51">
        <v>0.75</v>
      </c>
      <c r="K51">
        <v>1</v>
      </c>
      <c r="L51">
        <v>1</v>
      </c>
      <c r="M51">
        <v>0</v>
      </c>
      <c r="N51">
        <v>0.75</v>
      </c>
      <c r="O51">
        <v>0.33</v>
      </c>
      <c r="P51">
        <v>1</v>
      </c>
      <c r="Q51">
        <v>0</v>
      </c>
      <c r="R51">
        <v>1</v>
      </c>
      <c r="S51">
        <v>1</v>
      </c>
      <c r="T51">
        <f t="shared" si="4"/>
        <v>0</v>
      </c>
      <c r="U51">
        <f t="shared" si="5"/>
        <v>2</v>
      </c>
      <c r="V51">
        <f t="shared" si="6"/>
        <v>3</v>
      </c>
      <c r="W51">
        <f t="shared" si="7"/>
        <v>8.5</v>
      </c>
      <c r="X51" t="e">
        <f t="shared" si="8"/>
        <v>#N/A</v>
      </c>
      <c r="Y51" t="str">
        <f>+VLOOKUP(A51,'[1]Tárgy kurzusai'!$A:$C,3,0)</f>
        <v>K:13:40-15:10(C 664)</v>
      </c>
      <c r="Z51">
        <f>+VLOOKUP(A51,'[1]Tárgy kurzusai'!$A:$F,6,0)</f>
        <v>3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</row>
    <row r="52" spans="1:55" ht="16" x14ac:dyDescent="0.2">
      <c r="A52" s="4" t="s">
        <v>4</v>
      </c>
      <c r="B52" s="4" t="s">
        <v>3</v>
      </c>
      <c r="C52" s="5">
        <v>-11</v>
      </c>
      <c r="D52" s="5">
        <v>-11</v>
      </c>
      <c r="E52" s="5">
        <v>-6.5</v>
      </c>
      <c r="F52" s="5">
        <v>-14</v>
      </c>
      <c r="G52" s="3">
        <v>-25.5</v>
      </c>
      <c r="H52">
        <v>1</v>
      </c>
      <c r="I52">
        <v>0.75</v>
      </c>
      <c r="J52">
        <v>0.75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0.5</v>
      </c>
      <c r="R52">
        <v>1</v>
      </c>
      <c r="S52">
        <v>1</v>
      </c>
      <c r="T52">
        <f t="shared" si="4"/>
        <v>5</v>
      </c>
      <c r="U52">
        <f t="shared" si="5"/>
        <v>5</v>
      </c>
      <c r="V52">
        <f t="shared" si="6"/>
        <v>9.5</v>
      </c>
      <c r="W52">
        <f t="shared" si="7"/>
        <v>2</v>
      </c>
      <c r="X52">
        <f t="shared" si="8"/>
        <v>14.5</v>
      </c>
      <c r="Y52" t="str">
        <f>+VLOOKUP(A52,'[1]Tárgy kurzusai'!$A:$C,3,0)</f>
        <v>K:13:40-15:10(C 664)</v>
      </c>
      <c r="Z52">
        <f>+VLOOKUP(A52,'[1]Tárgy kurzusai'!$A:$F,6,0)</f>
        <v>3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</row>
    <row r="53" spans="1:55" ht="16" x14ac:dyDescent="0.2">
      <c r="A53" s="4" t="s">
        <v>4</v>
      </c>
      <c r="B53" s="4" t="s">
        <v>3</v>
      </c>
      <c r="C53" s="5">
        <v>-10.5</v>
      </c>
      <c r="D53" s="5">
        <v>-7</v>
      </c>
      <c r="E53" s="5">
        <v>-5</v>
      </c>
      <c r="F53" s="5">
        <v>-0.5</v>
      </c>
      <c r="G53" s="3">
        <v>-1.5</v>
      </c>
      <c r="H53">
        <v>1</v>
      </c>
      <c r="I53">
        <v>1</v>
      </c>
      <c r="J53">
        <v>1</v>
      </c>
      <c r="K53">
        <v>1</v>
      </c>
      <c r="L53">
        <v>0</v>
      </c>
      <c r="M53">
        <v>0.75</v>
      </c>
      <c r="N53">
        <v>1</v>
      </c>
      <c r="O53">
        <v>0.5</v>
      </c>
      <c r="P53">
        <v>1</v>
      </c>
      <c r="Q53">
        <v>0.5</v>
      </c>
      <c r="R53">
        <v>1</v>
      </c>
      <c r="S53">
        <v>1</v>
      </c>
      <c r="T53">
        <f t="shared" si="4"/>
        <v>5.5</v>
      </c>
      <c r="U53">
        <f t="shared" si="5"/>
        <v>9</v>
      </c>
      <c r="V53">
        <f t="shared" si="6"/>
        <v>11</v>
      </c>
      <c r="W53">
        <f t="shared" si="7"/>
        <v>15.5</v>
      </c>
      <c r="X53">
        <f t="shared" si="8"/>
        <v>38.5</v>
      </c>
      <c r="Y53" t="str">
        <f>+VLOOKUP(A53,'[1]Tárgy kurzusai'!$A:$C,3,0)</f>
        <v>K:13:40-15:10(C 664)</v>
      </c>
      <c r="Z53">
        <f>+VLOOKUP(A53,'[1]Tárgy kurzusai'!$A:$F,6,0)</f>
        <v>3</v>
      </c>
      <c r="AA53" t="s">
        <v>49</v>
      </c>
      <c r="AB53" t="s">
        <v>71</v>
      </c>
      <c r="AC53" t="s">
        <v>72</v>
      </c>
      <c r="AD53" t="s">
        <v>92</v>
      </c>
      <c r="AE53" t="s">
        <v>53</v>
      </c>
      <c r="AF53" t="s">
        <v>53</v>
      </c>
      <c r="AG53" t="s">
        <v>55</v>
      </c>
      <c r="AH53" t="s">
        <v>55</v>
      </c>
      <c r="AI53" t="s">
        <v>55</v>
      </c>
      <c r="AJ53" t="s">
        <v>57</v>
      </c>
      <c r="AK53" t="s">
        <v>58</v>
      </c>
      <c r="AL53" t="s">
        <v>59</v>
      </c>
      <c r="AM53" t="s">
        <v>60</v>
      </c>
      <c r="AN53">
        <v>6</v>
      </c>
      <c r="AO53">
        <v>33</v>
      </c>
      <c r="AP53">
        <v>5</v>
      </c>
      <c r="AQ53">
        <v>4</v>
      </c>
      <c r="AR53" t="s">
        <v>55</v>
      </c>
      <c r="AS53" t="s">
        <v>61</v>
      </c>
      <c r="AT53" t="s">
        <v>56</v>
      </c>
      <c r="AU53" t="s">
        <v>62</v>
      </c>
      <c r="AV53" t="s">
        <v>63</v>
      </c>
      <c r="AW53" t="s">
        <v>60</v>
      </c>
      <c r="AX53" t="s">
        <v>60</v>
      </c>
      <c r="AY53">
        <v>2</v>
      </c>
      <c r="AZ53" t="s">
        <v>64</v>
      </c>
      <c r="BA53">
        <v>6</v>
      </c>
      <c r="BB53">
        <v>3</v>
      </c>
      <c r="BC53" t="s">
        <v>70</v>
      </c>
    </row>
    <row r="54" spans="1:55" ht="16" x14ac:dyDescent="0.2">
      <c r="A54" s="4" t="s">
        <v>4</v>
      </c>
      <c r="B54" s="4" t="s">
        <v>3</v>
      </c>
      <c r="C54" s="5">
        <v>-9</v>
      </c>
      <c r="D54" s="5">
        <v>-1</v>
      </c>
      <c r="E54" s="5">
        <v>-3</v>
      </c>
      <c r="F54" s="5">
        <v>-5</v>
      </c>
      <c r="G54" s="3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0.75</v>
      </c>
      <c r="R54">
        <v>0.75</v>
      </c>
      <c r="S54">
        <v>0</v>
      </c>
      <c r="T54">
        <f t="shared" si="4"/>
        <v>7</v>
      </c>
      <c r="U54">
        <f t="shared" si="5"/>
        <v>15</v>
      </c>
      <c r="V54">
        <f t="shared" si="6"/>
        <v>13</v>
      </c>
      <c r="W54">
        <f t="shared" si="7"/>
        <v>11</v>
      </c>
      <c r="X54">
        <f t="shared" si="8"/>
        <v>40</v>
      </c>
      <c r="Y54" t="str">
        <f>+VLOOKUP(A54,'[1]Tárgy kurzusai'!$A:$C,3,0)</f>
        <v>K:13:40-15:10(C 664)</v>
      </c>
      <c r="Z54">
        <f>+VLOOKUP(A54,'[1]Tárgy kurzusai'!$A:$F,6,0)</f>
        <v>3</v>
      </c>
      <c r="AA54" t="s">
        <v>49</v>
      </c>
      <c r="AB54" t="s">
        <v>71</v>
      </c>
      <c r="AC54" t="s">
        <v>75</v>
      </c>
      <c r="AD54" t="s">
        <v>68</v>
      </c>
      <c r="AE54" t="s">
        <v>69</v>
      </c>
      <c r="AF54" t="s">
        <v>69</v>
      </c>
      <c r="AG54" t="s">
        <v>55</v>
      </c>
      <c r="AH54" t="s">
        <v>55</v>
      </c>
      <c r="AI54" t="s">
        <v>55</v>
      </c>
      <c r="AJ54" t="s">
        <v>57</v>
      </c>
      <c r="AK54" t="s">
        <v>58</v>
      </c>
      <c r="AL54" t="s">
        <v>59</v>
      </c>
      <c r="AM54" t="s">
        <v>60</v>
      </c>
      <c r="AN54">
        <v>8</v>
      </c>
      <c r="AO54">
        <v>36</v>
      </c>
      <c r="AP54">
        <v>5</v>
      </c>
      <c r="AQ54">
        <v>11</v>
      </c>
      <c r="AR54" t="s">
        <v>55</v>
      </c>
      <c r="AS54" t="s">
        <v>61</v>
      </c>
      <c r="AT54" t="s">
        <v>55</v>
      </c>
      <c r="AU54" t="s">
        <v>62</v>
      </c>
      <c r="AV54" t="s">
        <v>63</v>
      </c>
      <c r="AW54" t="s">
        <v>60</v>
      </c>
      <c r="AX54" t="s">
        <v>60</v>
      </c>
      <c r="AY54">
        <v>4</v>
      </c>
      <c r="AZ54" t="s">
        <v>64</v>
      </c>
      <c r="BA54">
        <v>7</v>
      </c>
      <c r="BB54">
        <v>5</v>
      </c>
      <c r="BC54" t="s">
        <v>70</v>
      </c>
    </row>
    <row r="55" spans="1:55" ht="16" x14ac:dyDescent="0.2">
      <c r="A55" s="4" t="s">
        <v>4</v>
      </c>
      <c r="B55" s="4" t="s">
        <v>3</v>
      </c>
      <c r="C55" s="5">
        <v>-8</v>
      </c>
      <c r="D55" s="5">
        <v>-10</v>
      </c>
      <c r="E55" s="5">
        <v>-10</v>
      </c>
      <c r="F55" s="5">
        <v>-13</v>
      </c>
      <c r="G55" s="3">
        <v>-15.5</v>
      </c>
      <c r="H55">
        <v>0.75</v>
      </c>
      <c r="I55">
        <v>1</v>
      </c>
      <c r="J55">
        <v>1</v>
      </c>
      <c r="K55">
        <v>1</v>
      </c>
      <c r="L55">
        <v>0.5</v>
      </c>
      <c r="M55">
        <v>0.75</v>
      </c>
      <c r="N55">
        <v>1</v>
      </c>
      <c r="O55">
        <v>0.17</v>
      </c>
      <c r="P55">
        <v>1</v>
      </c>
      <c r="Q55">
        <v>1</v>
      </c>
      <c r="R55">
        <v>1</v>
      </c>
      <c r="S55">
        <v>1</v>
      </c>
      <c r="T55">
        <f t="shared" si="4"/>
        <v>8</v>
      </c>
      <c r="U55">
        <f t="shared" si="5"/>
        <v>6</v>
      </c>
      <c r="V55">
        <f t="shared" si="6"/>
        <v>6</v>
      </c>
      <c r="W55">
        <f t="shared" si="7"/>
        <v>3</v>
      </c>
      <c r="X55">
        <f t="shared" si="8"/>
        <v>24.5</v>
      </c>
      <c r="Y55" t="str">
        <f>+VLOOKUP(A55,'[1]Tárgy kurzusai'!$A:$C,3,0)</f>
        <v>K:13:40-15:10(C 664)</v>
      </c>
      <c r="Z55">
        <f>+VLOOKUP(A55,'[1]Tárgy kurzusai'!$A:$F,6,0)</f>
        <v>3</v>
      </c>
      <c r="AA55" t="s">
        <v>49</v>
      </c>
      <c r="AB55" t="s">
        <v>67</v>
      </c>
      <c r="AC55" t="s">
        <v>75</v>
      </c>
      <c r="AD55" t="s">
        <v>68</v>
      </c>
      <c r="AE55" t="s">
        <v>69</v>
      </c>
      <c r="AF55" t="s">
        <v>53</v>
      </c>
      <c r="AG55" t="s">
        <v>55</v>
      </c>
      <c r="AH55" t="s">
        <v>55</v>
      </c>
      <c r="AI55" t="s">
        <v>55</v>
      </c>
      <c r="AJ55" t="s">
        <v>57</v>
      </c>
      <c r="AK55" t="s">
        <v>79</v>
      </c>
      <c r="AL55" t="s">
        <v>96</v>
      </c>
      <c r="AM55">
        <v>0</v>
      </c>
      <c r="AN55">
        <v>7</v>
      </c>
      <c r="AO55">
        <v>39</v>
      </c>
      <c r="AP55">
        <v>7</v>
      </c>
      <c r="AQ55">
        <v>13</v>
      </c>
      <c r="AR55" t="s">
        <v>55</v>
      </c>
      <c r="AS55" t="s">
        <v>55</v>
      </c>
      <c r="AT55" t="s">
        <v>56</v>
      </c>
      <c r="AU55" t="s">
        <v>62</v>
      </c>
      <c r="AV55" t="s">
        <v>97</v>
      </c>
      <c r="AW55" t="s">
        <v>98</v>
      </c>
      <c r="AX55" t="s">
        <v>60</v>
      </c>
      <c r="AY55">
        <v>2</v>
      </c>
      <c r="AZ55" t="s">
        <v>99</v>
      </c>
      <c r="BA55">
        <v>7</v>
      </c>
      <c r="BB55">
        <v>5</v>
      </c>
      <c r="BC55" t="s">
        <v>65</v>
      </c>
    </row>
    <row r="56" spans="1:55" ht="16" x14ac:dyDescent="0.2">
      <c r="A56" s="4" t="s">
        <v>4</v>
      </c>
      <c r="B56" s="4" t="s">
        <v>3</v>
      </c>
      <c r="C56" s="5">
        <v>-7</v>
      </c>
      <c r="D56" s="5">
        <v>-9</v>
      </c>
      <c r="E56" s="5">
        <v>-9</v>
      </c>
      <c r="F56" s="5">
        <v>-3</v>
      </c>
      <c r="G56" s="3">
        <v>-12</v>
      </c>
      <c r="H56">
        <v>1</v>
      </c>
      <c r="I56">
        <v>1</v>
      </c>
      <c r="J56">
        <v>1</v>
      </c>
      <c r="K56">
        <v>1</v>
      </c>
      <c r="L56">
        <v>1</v>
      </c>
      <c r="M56">
        <v>0.75</v>
      </c>
      <c r="N56">
        <v>1</v>
      </c>
      <c r="O56">
        <v>1</v>
      </c>
      <c r="P56">
        <v>1</v>
      </c>
      <c r="Q56">
        <v>0.75</v>
      </c>
      <c r="R56">
        <v>1</v>
      </c>
      <c r="S56">
        <v>1</v>
      </c>
      <c r="T56">
        <f t="shared" si="4"/>
        <v>9</v>
      </c>
      <c r="U56">
        <f t="shared" si="5"/>
        <v>7</v>
      </c>
      <c r="V56">
        <f t="shared" si="6"/>
        <v>7</v>
      </c>
      <c r="W56">
        <f t="shared" si="7"/>
        <v>13</v>
      </c>
      <c r="X56">
        <f t="shared" si="8"/>
        <v>28</v>
      </c>
      <c r="Y56" t="str">
        <f>+VLOOKUP(A56,'[1]Tárgy kurzusai'!$A:$C,3,0)</f>
        <v>K:13:40-15:10(C 664)</v>
      </c>
      <c r="Z56">
        <f>+VLOOKUP(A56,'[1]Tárgy kurzusai'!$A:$F,6,0)</f>
        <v>3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</row>
    <row r="57" spans="1:55" ht="16" x14ac:dyDescent="0.2">
      <c r="A57" s="4" t="s">
        <v>4</v>
      </c>
      <c r="B57" s="4" t="s">
        <v>3</v>
      </c>
      <c r="C57" s="5">
        <v>-15.5</v>
      </c>
      <c r="D57" s="5">
        <v>-13</v>
      </c>
      <c r="E57" s="5">
        <v>-7.5</v>
      </c>
      <c r="F57" s="5">
        <v>-6.5</v>
      </c>
      <c r="G57" s="3">
        <v>-6</v>
      </c>
      <c r="H57">
        <v>1</v>
      </c>
      <c r="I57">
        <v>0.75</v>
      </c>
      <c r="J57">
        <v>1</v>
      </c>
      <c r="K57">
        <v>0.75</v>
      </c>
      <c r="L57">
        <v>0</v>
      </c>
      <c r="M57">
        <v>0</v>
      </c>
      <c r="N57">
        <v>0.75</v>
      </c>
      <c r="O57">
        <v>0.83</v>
      </c>
      <c r="P57">
        <v>1</v>
      </c>
      <c r="Q57">
        <v>1</v>
      </c>
      <c r="R57">
        <v>1</v>
      </c>
      <c r="S57">
        <v>1</v>
      </c>
      <c r="T57">
        <f t="shared" si="4"/>
        <v>0.5</v>
      </c>
      <c r="U57">
        <f t="shared" si="5"/>
        <v>3</v>
      </c>
      <c r="V57">
        <f t="shared" si="6"/>
        <v>8.5</v>
      </c>
      <c r="W57">
        <f t="shared" si="7"/>
        <v>9.5</v>
      </c>
      <c r="X57">
        <f t="shared" si="8"/>
        <v>34</v>
      </c>
      <c r="Y57" t="str">
        <f>+VLOOKUP(A57,'[1]Tárgy kurzusai'!$A:$C,3,0)</f>
        <v>K:13:40-15:10(C 664)</v>
      </c>
      <c r="Z57">
        <f>+VLOOKUP(A57,'[1]Tárgy kurzusai'!$A:$F,6,0)</f>
        <v>3</v>
      </c>
      <c r="AA57" t="s">
        <v>66</v>
      </c>
      <c r="AB57" t="s">
        <v>50</v>
      </c>
      <c r="AC57" t="s">
        <v>74</v>
      </c>
      <c r="AD57" t="s">
        <v>60</v>
      </c>
      <c r="AE57" t="s">
        <v>69</v>
      </c>
      <c r="AF57" t="s">
        <v>69</v>
      </c>
      <c r="AG57" t="s">
        <v>55</v>
      </c>
      <c r="AH57" t="s">
        <v>55</v>
      </c>
      <c r="AI57" t="s">
        <v>56</v>
      </c>
      <c r="AJ57" t="s">
        <v>57</v>
      </c>
      <c r="AK57" t="s">
        <v>79</v>
      </c>
      <c r="AL57" t="s">
        <v>59</v>
      </c>
      <c r="AM57" t="s">
        <v>60</v>
      </c>
      <c r="AN57">
        <v>7</v>
      </c>
      <c r="AO57">
        <v>32</v>
      </c>
      <c r="AP57">
        <v>4</v>
      </c>
      <c r="AQ57">
        <v>12</v>
      </c>
      <c r="AR57" t="s">
        <v>55</v>
      </c>
      <c r="AS57" t="s">
        <v>61</v>
      </c>
      <c r="AT57" t="s">
        <v>56</v>
      </c>
      <c r="AU57" t="s">
        <v>62</v>
      </c>
      <c r="AV57" t="s">
        <v>63</v>
      </c>
      <c r="AW57" t="s">
        <v>60</v>
      </c>
      <c r="AX57" t="s">
        <v>60</v>
      </c>
      <c r="AY57">
        <v>4</v>
      </c>
      <c r="AZ57" t="s">
        <v>64</v>
      </c>
      <c r="BA57">
        <v>5</v>
      </c>
      <c r="BB57">
        <v>8</v>
      </c>
      <c r="BC57" t="s">
        <v>65</v>
      </c>
    </row>
    <row r="58" spans="1:55" ht="16" x14ac:dyDescent="0.2">
      <c r="A58" s="4" t="s">
        <v>4</v>
      </c>
      <c r="B58" s="4" t="s">
        <v>3</v>
      </c>
      <c r="C58" s="5">
        <v>-6</v>
      </c>
      <c r="D58" s="5">
        <v>0</v>
      </c>
      <c r="E58" s="5">
        <v>-0.5</v>
      </c>
      <c r="F58" s="5">
        <v>-5</v>
      </c>
      <c r="G58" s="3">
        <v>-9.5</v>
      </c>
      <c r="H58">
        <v>1</v>
      </c>
      <c r="I58">
        <v>1</v>
      </c>
      <c r="J58">
        <v>1</v>
      </c>
      <c r="K58">
        <v>1</v>
      </c>
      <c r="L58">
        <v>0.5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f t="shared" si="4"/>
        <v>10</v>
      </c>
      <c r="U58">
        <f t="shared" si="5"/>
        <v>16</v>
      </c>
      <c r="V58">
        <f t="shared" si="6"/>
        <v>15.5</v>
      </c>
      <c r="W58">
        <f t="shared" si="7"/>
        <v>11</v>
      </c>
      <c r="X58">
        <f t="shared" si="8"/>
        <v>30.5</v>
      </c>
      <c r="Y58" t="str">
        <f>+VLOOKUP(A58,'[1]Tárgy kurzusai'!$A:$C,3,0)</f>
        <v>K:13:40-15:10(C 664)</v>
      </c>
      <c r="Z58">
        <f>+VLOOKUP(A58,'[1]Tárgy kurzusai'!$A:$F,6,0)</f>
        <v>3</v>
      </c>
      <c r="AA58" t="s">
        <v>66</v>
      </c>
      <c r="AB58" t="s">
        <v>67</v>
      </c>
      <c r="AC58" t="s">
        <v>72</v>
      </c>
      <c r="AD58" t="s">
        <v>93</v>
      </c>
      <c r="AE58" t="s">
        <v>69</v>
      </c>
      <c r="AF58" t="s">
        <v>54</v>
      </c>
      <c r="AG58" t="s">
        <v>55</v>
      </c>
      <c r="AH58" t="s">
        <v>55</v>
      </c>
      <c r="AI58" t="s">
        <v>55</v>
      </c>
      <c r="AJ58" t="s">
        <v>57</v>
      </c>
      <c r="AK58" t="s">
        <v>58</v>
      </c>
      <c r="AL58" t="s">
        <v>59</v>
      </c>
      <c r="AM58" t="s">
        <v>60</v>
      </c>
      <c r="AN58">
        <v>7</v>
      </c>
      <c r="AO58">
        <v>33</v>
      </c>
      <c r="AP58">
        <v>5</v>
      </c>
      <c r="AQ58">
        <v>4</v>
      </c>
      <c r="AR58" t="s">
        <v>55</v>
      </c>
      <c r="AS58" t="s">
        <v>55</v>
      </c>
      <c r="AT58" t="s">
        <v>56</v>
      </c>
      <c r="AU58" t="s">
        <v>62</v>
      </c>
      <c r="AV58" t="s">
        <v>63</v>
      </c>
      <c r="AW58" t="s">
        <v>60</v>
      </c>
      <c r="AX58" t="s">
        <v>60</v>
      </c>
      <c r="AY58">
        <v>3</v>
      </c>
      <c r="AZ58" t="s">
        <v>64</v>
      </c>
      <c r="BA58">
        <v>6</v>
      </c>
      <c r="BB58">
        <v>6</v>
      </c>
      <c r="BC58" t="s">
        <v>82</v>
      </c>
    </row>
    <row r="59" spans="1:55" ht="16" x14ac:dyDescent="0.2">
      <c r="A59" s="4" t="s">
        <v>4</v>
      </c>
      <c r="B59" s="4" t="s">
        <v>3</v>
      </c>
      <c r="C59" s="5">
        <v>0</v>
      </c>
      <c r="D59" s="5">
        <v>-4</v>
      </c>
      <c r="E59" s="5">
        <v>-4.5</v>
      </c>
      <c r="F59" s="5">
        <v>-1</v>
      </c>
      <c r="G59" s="3">
        <v>-3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f t="shared" si="4"/>
        <v>16</v>
      </c>
      <c r="U59">
        <f t="shared" si="5"/>
        <v>12</v>
      </c>
      <c r="V59">
        <f t="shared" si="6"/>
        <v>11.5</v>
      </c>
      <c r="W59">
        <f t="shared" si="7"/>
        <v>15</v>
      </c>
      <c r="X59">
        <f t="shared" si="8"/>
        <v>37</v>
      </c>
      <c r="Y59" t="str">
        <f>+VLOOKUP(A59,'[1]Tárgy kurzusai'!$A:$C,3,0)</f>
        <v>K:13:40-15:10(C 664)</v>
      </c>
      <c r="Z59">
        <f>+VLOOKUP(A59,'[1]Tárgy kurzusai'!$A:$F,6,0)</f>
        <v>3</v>
      </c>
      <c r="AA59" t="s">
        <v>66</v>
      </c>
      <c r="AB59" t="s">
        <v>80</v>
      </c>
      <c r="AC59" t="s">
        <v>51</v>
      </c>
      <c r="AD59" t="s">
        <v>68</v>
      </c>
      <c r="AE59" t="s">
        <v>69</v>
      </c>
      <c r="AF59" t="s">
        <v>69</v>
      </c>
      <c r="AG59" t="s">
        <v>56</v>
      </c>
      <c r="AH59" t="s">
        <v>55</v>
      </c>
      <c r="AI59" t="s">
        <v>55</v>
      </c>
      <c r="AJ59" t="s">
        <v>57</v>
      </c>
      <c r="AK59" t="s">
        <v>58</v>
      </c>
      <c r="AL59" t="s">
        <v>59</v>
      </c>
      <c r="AM59" t="s">
        <v>60</v>
      </c>
      <c r="AN59">
        <v>6</v>
      </c>
      <c r="AO59">
        <v>33</v>
      </c>
      <c r="AP59">
        <v>5</v>
      </c>
      <c r="AQ59">
        <v>14</v>
      </c>
      <c r="AR59" t="s">
        <v>55</v>
      </c>
      <c r="AS59" t="s">
        <v>55</v>
      </c>
      <c r="AT59" t="s">
        <v>56</v>
      </c>
      <c r="AU59" t="s">
        <v>62</v>
      </c>
      <c r="AV59" t="s">
        <v>63</v>
      </c>
      <c r="AW59" t="s">
        <v>60</v>
      </c>
      <c r="AX59" t="s">
        <v>60</v>
      </c>
      <c r="AY59">
        <v>4</v>
      </c>
      <c r="AZ59" t="s">
        <v>64</v>
      </c>
      <c r="BA59">
        <v>6</v>
      </c>
      <c r="BB59">
        <v>7</v>
      </c>
      <c r="BC59" t="s">
        <v>70</v>
      </c>
    </row>
    <row r="60" spans="1:55" ht="16" x14ac:dyDescent="0.2">
      <c r="A60" s="4" t="s">
        <v>4</v>
      </c>
      <c r="B60" s="4" t="s">
        <v>3</v>
      </c>
      <c r="C60" s="5">
        <v>-7</v>
      </c>
      <c r="D60" s="5">
        <v>-4.5</v>
      </c>
      <c r="E60" s="5">
        <v>-5</v>
      </c>
      <c r="F60" s="5">
        <v>-2</v>
      </c>
      <c r="G60" s="3">
        <v>-9</v>
      </c>
      <c r="H60">
        <v>1</v>
      </c>
      <c r="I60">
        <v>1</v>
      </c>
      <c r="J60">
        <v>0.75</v>
      </c>
      <c r="K60">
        <v>1</v>
      </c>
      <c r="L60">
        <v>0.5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f t="shared" si="4"/>
        <v>9</v>
      </c>
      <c r="U60">
        <f t="shared" si="5"/>
        <v>11.5</v>
      </c>
      <c r="V60">
        <f t="shared" si="6"/>
        <v>11</v>
      </c>
      <c r="W60">
        <f t="shared" si="7"/>
        <v>14</v>
      </c>
      <c r="X60">
        <f t="shared" si="8"/>
        <v>31</v>
      </c>
      <c r="Y60" t="str">
        <f>+VLOOKUP(A60,'[1]Tárgy kurzusai'!$A:$C,3,0)</f>
        <v>K:13:40-15:10(C 664)</v>
      </c>
      <c r="Z60">
        <f>+VLOOKUP(A60,'[1]Tárgy kurzusai'!$A:$F,6,0)</f>
        <v>3</v>
      </c>
      <c r="AA60" t="s">
        <v>66</v>
      </c>
      <c r="AB60" t="s">
        <v>71</v>
      </c>
      <c r="AC60" t="s">
        <v>72</v>
      </c>
      <c r="AD60" t="s">
        <v>100</v>
      </c>
      <c r="AE60" t="s">
        <v>69</v>
      </c>
      <c r="AF60" t="s">
        <v>53</v>
      </c>
      <c r="AG60" t="s">
        <v>56</v>
      </c>
      <c r="AH60" t="s">
        <v>55</v>
      </c>
      <c r="AI60" t="s">
        <v>55</v>
      </c>
      <c r="AJ60" t="s">
        <v>57</v>
      </c>
      <c r="AK60" t="s">
        <v>58</v>
      </c>
      <c r="AL60" t="s">
        <v>59</v>
      </c>
      <c r="AM60" t="s">
        <v>60</v>
      </c>
      <c r="AN60">
        <v>8</v>
      </c>
      <c r="AO60">
        <v>36</v>
      </c>
      <c r="AP60">
        <v>5</v>
      </c>
      <c r="AQ60">
        <v>13</v>
      </c>
      <c r="AR60" t="s">
        <v>55</v>
      </c>
      <c r="AS60" t="s">
        <v>55</v>
      </c>
      <c r="AT60" t="s">
        <v>56</v>
      </c>
      <c r="AU60" t="s">
        <v>62</v>
      </c>
      <c r="AV60" t="s">
        <v>63</v>
      </c>
      <c r="AW60" t="s">
        <v>60</v>
      </c>
      <c r="AX60" t="s">
        <v>60</v>
      </c>
      <c r="AY60">
        <v>3</v>
      </c>
      <c r="AZ60" t="s">
        <v>64</v>
      </c>
      <c r="BA60">
        <v>2</v>
      </c>
      <c r="BB60">
        <v>8</v>
      </c>
      <c r="BC60" t="s">
        <v>76</v>
      </c>
    </row>
    <row r="61" spans="1:55" ht="16" x14ac:dyDescent="0.2">
      <c r="A61" s="4" t="s">
        <v>4</v>
      </c>
      <c r="B61" s="4" t="s">
        <v>3</v>
      </c>
      <c r="C61" s="5">
        <v>-7.5</v>
      </c>
      <c r="D61" s="5">
        <v>-8</v>
      </c>
      <c r="E61" s="5">
        <v>-6.5</v>
      </c>
      <c r="F61" s="5">
        <v>-2</v>
      </c>
      <c r="G61" s="3">
        <v>-19.5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f t="shared" si="4"/>
        <v>8.5</v>
      </c>
      <c r="U61">
        <f t="shared" si="5"/>
        <v>8</v>
      </c>
      <c r="V61">
        <f t="shared" si="6"/>
        <v>9.5</v>
      </c>
      <c r="W61">
        <f t="shared" si="7"/>
        <v>14</v>
      </c>
      <c r="X61">
        <f t="shared" si="8"/>
        <v>20.5</v>
      </c>
      <c r="Y61" t="str">
        <f>+VLOOKUP(A61,'[1]Tárgy kurzusai'!$A:$C,3,0)</f>
        <v>K:13:40-15:10(C 664)</v>
      </c>
      <c r="Z61">
        <f>+VLOOKUP(A61,'[1]Tárgy kurzusai'!$A:$F,6,0)</f>
        <v>3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</row>
    <row r="62" spans="1:55" ht="16" x14ac:dyDescent="0.2">
      <c r="A62" s="4" t="s">
        <v>4</v>
      </c>
      <c r="B62" s="4" t="s">
        <v>3</v>
      </c>
      <c r="C62" s="5">
        <v>-8.5</v>
      </c>
      <c r="D62" s="5">
        <v>-8</v>
      </c>
      <c r="E62" s="5">
        <v>0</v>
      </c>
      <c r="F62" s="5">
        <v>-6</v>
      </c>
      <c r="G62" s="3">
        <v>-6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f t="shared" si="4"/>
        <v>7.5</v>
      </c>
      <c r="U62">
        <f t="shared" si="5"/>
        <v>8</v>
      </c>
      <c r="V62">
        <f t="shared" si="6"/>
        <v>16</v>
      </c>
      <c r="W62">
        <f t="shared" si="7"/>
        <v>10</v>
      </c>
      <c r="X62">
        <f t="shared" si="8"/>
        <v>34</v>
      </c>
      <c r="Y62" t="str">
        <f>+VLOOKUP(A62,'[1]Tárgy kurzusai'!$A:$C,3,0)</f>
        <v>K:13:40-15:10(C 664)</v>
      </c>
      <c r="Z62">
        <f>+VLOOKUP(A62,'[1]Tárgy kurzusai'!$A:$F,6,0)</f>
        <v>3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</row>
    <row r="63" spans="1:55" ht="16" x14ac:dyDescent="0.2">
      <c r="A63" s="4" t="s">
        <v>4</v>
      </c>
      <c r="B63" s="4" t="s">
        <v>3</v>
      </c>
      <c r="C63" s="5">
        <v>-5</v>
      </c>
      <c r="D63" s="5">
        <v>-6</v>
      </c>
      <c r="E63" s="5">
        <v>-9</v>
      </c>
      <c r="F63" s="6">
        <v>-16</v>
      </c>
      <c r="G63" s="3">
        <v>-15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0.25</v>
      </c>
      <c r="R63">
        <v>0</v>
      </c>
      <c r="S63">
        <v>1</v>
      </c>
      <c r="T63">
        <f t="shared" si="4"/>
        <v>11</v>
      </c>
      <c r="U63">
        <f t="shared" si="5"/>
        <v>10</v>
      </c>
      <c r="V63">
        <f t="shared" si="6"/>
        <v>7</v>
      </c>
      <c r="W63">
        <f t="shared" si="7"/>
        <v>0</v>
      </c>
      <c r="X63">
        <f t="shared" si="8"/>
        <v>25</v>
      </c>
      <c r="Y63" t="str">
        <f>+VLOOKUP(A63,'[1]Tárgy kurzusai'!$A:$C,3,0)</f>
        <v>K:13:40-15:10(C 664)</v>
      </c>
      <c r="Z63">
        <f>+VLOOKUP(A63,'[1]Tárgy kurzusai'!$A:$F,6,0)</f>
        <v>3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</row>
    <row r="64" spans="1:55" ht="16" x14ac:dyDescent="0.2">
      <c r="A64" s="7" t="s">
        <v>5</v>
      </c>
      <c r="B64" s="7" t="s">
        <v>6</v>
      </c>
      <c r="C64" s="8">
        <v>14</v>
      </c>
      <c r="D64" s="8">
        <v>9.5</v>
      </c>
      <c r="E64" s="8">
        <v>9.5</v>
      </c>
      <c r="F64" s="8">
        <v>10</v>
      </c>
      <c r="G64" s="3">
        <v>-21</v>
      </c>
      <c r="H64">
        <v>1</v>
      </c>
      <c r="I64">
        <v>0.25</v>
      </c>
      <c r="J64">
        <v>0.75</v>
      </c>
      <c r="K64">
        <v>1</v>
      </c>
      <c r="L64">
        <v>1</v>
      </c>
      <c r="M64">
        <v>0.75</v>
      </c>
      <c r="N64">
        <v>0.5</v>
      </c>
      <c r="O64">
        <v>1</v>
      </c>
      <c r="P64">
        <v>1</v>
      </c>
      <c r="Q64">
        <v>1</v>
      </c>
      <c r="R64">
        <v>0</v>
      </c>
      <c r="S64">
        <v>1</v>
      </c>
      <c r="T64">
        <f>+C64</f>
        <v>14</v>
      </c>
      <c r="U64">
        <f t="shared" ref="U64:W64" si="9">+D64</f>
        <v>9.5</v>
      </c>
      <c r="V64">
        <f t="shared" si="9"/>
        <v>9.5</v>
      </c>
      <c r="W64">
        <f t="shared" si="9"/>
        <v>10</v>
      </c>
      <c r="X64">
        <f>40+G64</f>
        <v>19</v>
      </c>
      <c r="Y64" t="str">
        <f>+VLOOKUP(A64,'[1]Tárgy kurzusai'!$A:$C,3,0)</f>
        <v>P:08:00-09:30(E.3.338)</v>
      </c>
      <c r="Z64">
        <f>+VLOOKUP(A64,'[1]Tárgy kurzusai'!$A:$F,6,0)</f>
        <v>3</v>
      </c>
      <c r="AA64" t="s">
        <v>66</v>
      </c>
      <c r="AB64" t="s">
        <v>101</v>
      </c>
      <c r="AC64" t="s">
        <v>74</v>
      </c>
      <c r="AD64" t="s">
        <v>60</v>
      </c>
      <c r="AE64" t="s">
        <v>69</v>
      </c>
      <c r="AF64" t="s">
        <v>53</v>
      </c>
      <c r="AG64" t="s">
        <v>55</v>
      </c>
      <c r="AH64" t="s">
        <v>55</v>
      </c>
      <c r="AI64" t="s">
        <v>55</v>
      </c>
      <c r="AJ64" t="s">
        <v>57</v>
      </c>
      <c r="AK64" t="s">
        <v>79</v>
      </c>
      <c r="AL64" t="s">
        <v>59</v>
      </c>
      <c r="AM64" t="s">
        <v>60</v>
      </c>
      <c r="AN64">
        <v>7</v>
      </c>
      <c r="AO64">
        <v>37</v>
      </c>
      <c r="AP64">
        <v>5</v>
      </c>
      <c r="AQ64">
        <v>3</v>
      </c>
      <c r="AR64" t="s">
        <v>102</v>
      </c>
      <c r="AS64" t="s">
        <v>55</v>
      </c>
      <c r="AT64" t="s">
        <v>56</v>
      </c>
      <c r="AU64" t="s">
        <v>62</v>
      </c>
      <c r="AV64" t="s">
        <v>63</v>
      </c>
      <c r="AW64" t="s">
        <v>60</v>
      </c>
      <c r="AX64" t="s">
        <v>60</v>
      </c>
      <c r="AY64">
        <v>4</v>
      </c>
      <c r="AZ64" t="s">
        <v>78</v>
      </c>
      <c r="BA64">
        <v>6</v>
      </c>
      <c r="BB64">
        <v>6</v>
      </c>
      <c r="BC64" t="s">
        <v>76</v>
      </c>
    </row>
    <row r="65" spans="1:55" ht="16" x14ac:dyDescent="0.2">
      <c r="A65" s="7" t="s">
        <v>5</v>
      </c>
      <c r="B65" s="7" t="s">
        <v>6</v>
      </c>
      <c r="C65" s="9">
        <v>0</v>
      </c>
      <c r="D65" s="8">
        <v>0</v>
      </c>
      <c r="E65" s="9">
        <v>0</v>
      </c>
      <c r="F65" s="9">
        <v>0</v>
      </c>
      <c r="G65" s="3" t="e">
        <v>#N/A</v>
      </c>
      <c r="H65">
        <v>1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ref="T65:T94" si="10">+C65</f>
        <v>0</v>
      </c>
      <c r="U65">
        <f t="shared" ref="U65:U94" si="11">+D65</f>
        <v>0</v>
      </c>
      <c r="V65">
        <f t="shared" ref="V65:V94" si="12">+E65</f>
        <v>0</v>
      </c>
      <c r="W65">
        <f t="shared" ref="W65:W94" si="13">+F65</f>
        <v>0</v>
      </c>
      <c r="X65" t="e">
        <f t="shared" ref="X65:X94" si="14">40+G65</f>
        <v>#N/A</v>
      </c>
      <c r="Y65" t="str">
        <f>+VLOOKUP(A65,'[1]Tárgy kurzusai'!$A:$C,3,0)</f>
        <v>P:08:00-09:30(E.3.338)</v>
      </c>
      <c r="Z65">
        <f>+VLOOKUP(A65,'[1]Tárgy kurzusai'!$A:$F,6,0)</f>
        <v>3</v>
      </c>
      <c r="AA65" t="s">
        <v>66</v>
      </c>
      <c r="AB65" t="s">
        <v>67</v>
      </c>
      <c r="AC65" t="s">
        <v>51</v>
      </c>
      <c r="AD65" t="s">
        <v>81</v>
      </c>
      <c r="AE65" t="s">
        <v>69</v>
      </c>
      <c r="AF65" t="s">
        <v>69</v>
      </c>
      <c r="AG65" t="s">
        <v>55</v>
      </c>
      <c r="AH65" t="s">
        <v>55</v>
      </c>
      <c r="AI65" t="s">
        <v>55</v>
      </c>
      <c r="AJ65" t="s">
        <v>60</v>
      </c>
      <c r="AK65" t="s">
        <v>79</v>
      </c>
      <c r="AL65" t="s">
        <v>96</v>
      </c>
      <c r="AM65">
        <v>1</v>
      </c>
      <c r="AN65">
        <v>7</v>
      </c>
      <c r="AO65">
        <v>33</v>
      </c>
      <c r="AP65">
        <v>4</v>
      </c>
      <c r="AQ65">
        <v>5</v>
      </c>
      <c r="AR65" t="s">
        <v>55</v>
      </c>
      <c r="AS65" t="s">
        <v>61</v>
      </c>
      <c r="AT65" t="s">
        <v>56</v>
      </c>
      <c r="AU65" t="s">
        <v>62</v>
      </c>
      <c r="AV65" t="s">
        <v>63</v>
      </c>
      <c r="AW65" t="s">
        <v>60</v>
      </c>
      <c r="AX65" t="s">
        <v>60</v>
      </c>
      <c r="AY65">
        <v>5</v>
      </c>
      <c r="AZ65" t="s">
        <v>64</v>
      </c>
      <c r="BA65" t="s">
        <v>60</v>
      </c>
      <c r="BB65">
        <v>5</v>
      </c>
      <c r="BC65" t="s">
        <v>70</v>
      </c>
    </row>
    <row r="66" spans="1:55" ht="16" x14ac:dyDescent="0.2">
      <c r="A66" s="7" t="s">
        <v>5</v>
      </c>
      <c r="B66" s="7" t="s">
        <v>6</v>
      </c>
      <c r="C66" s="9">
        <v>0</v>
      </c>
      <c r="D66" s="9">
        <v>0</v>
      </c>
      <c r="E66" s="9">
        <v>0</v>
      </c>
      <c r="F66" s="9">
        <v>0</v>
      </c>
      <c r="G66" s="3" t="e">
        <v>#N/A</v>
      </c>
      <c r="H66">
        <v>0.5</v>
      </c>
      <c r="I66">
        <v>0</v>
      </c>
      <c r="J66">
        <v>0.5</v>
      </c>
      <c r="K66">
        <v>0.25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10"/>
        <v>0</v>
      </c>
      <c r="U66">
        <f t="shared" si="11"/>
        <v>0</v>
      </c>
      <c r="V66">
        <f t="shared" si="12"/>
        <v>0</v>
      </c>
      <c r="W66">
        <f t="shared" si="13"/>
        <v>0</v>
      </c>
      <c r="X66" t="e">
        <f t="shared" si="14"/>
        <v>#N/A</v>
      </c>
      <c r="Y66" t="str">
        <f>+VLOOKUP(A66,'[1]Tárgy kurzusai'!$A:$C,3,0)</f>
        <v>P:08:00-09:30(E.3.338)</v>
      </c>
      <c r="Z66">
        <f>+VLOOKUP(A66,'[1]Tárgy kurzusai'!$A:$F,6,0)</f>
        <v>3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</row>
    <row r="67" spans="1:55" ht="16" x14ac:dyDescent="0.2">
      <c r="A67" s="7" t="s">
        <v>5</v>
      </c>
      <c r="B67" s="7" t="s">
        <v>6</v>
      </c>
      <c r="C67" s="8">
        <v>11</v>
      </c>
      <c r="D67" s="8">
        <v>13</v>
      </c>
      <c r="E67" s="8">
        <v>15</v>
      </c>
      <c r="F67" s="8">
        <v>12</v>
      </c>
      <c r="G67" s="3">
        <v>-14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0.25</v>
      </c>
      <c r="R67">
        <v>1</v>
      </c>
      <c r="S67">
        <v>1</v>
      </c>
      <c r="T67">
        <f t="shared" si="10"/>
        <v>11</v>
      </c>
      <c r="U67">
        <f t="shared" si="11"/>
        <v>13</v>
      </c>
      <c r="V67">
        <f t="shared" si="12"/>
        <v>15</v>
      </c>
      <c r="W67">
        <f t="shared" si="13"/>
        <v>12</v>
      </c>
      <c r="X67">
        <f t="shared" si="14"/>
        <v>26</v>
      </c>
      <c r="Y67" t="str">
        <f>+VLOOKUP(A67,'[1]Tárgy kurzusai'!$A:$C,3,0)</f>
        <v>P:08:00-09:30(E.3.338)</v>
      </c>
      <c r="Z67">
        <f>+VLOOKUP(A67,'[1]Tárgy kurzusai'!$A:$F,6,0)</f>
        <v>3</v>
      </c>
      <c r="AA67" t="s">
        <v>66</v>
      </c>
      <c r="AB67" t="s">
        <v>71</v>
      </c>
      <c r="AC67" t="s">
        <v>75</v>
      </c>
      <c r="AD67" t="s">
        <v>90</v>
      </c>
      <c r="AE67" t="s">
        <v>54</v>
      </c>
      <c r="AF67" t="s">
        <v>54</v>
      </c>
      <c r="AG67" t="s">
        <v>56</v>
      </c>
      <c r="AH67" t="s">
        <v>55</v>
      </c>
      <c r="AI67" t="s">
        <v>55</v>
      </c>
      <c r="AJ67" t="s">
        <v>57</v>
      </c>
      <c r="AK67" t="s">
        <v>58</v>
      </c>
      <c r="AL67" t="s">
        <v>59</v>
      </c>
      <c r="AM67" t="s">
        <v>60</v>
      </c>
      <c r="AN67">
        <v>7</v>
      </c>
      <c r="AO67">
        <v>36</v>
      </c>
      <c r="AP67">
        <v>5</v>
      </c>
      <c r="AQ67">
        <v>15</v>
      </c>
      <c r="AR67" t="s">
        <v>55</v>
      </c>
      <c r="AS67" t="s">
        <v>55</v>
      </c>
      <c r="AT67" t="s">
        <v>56</v>
      </c>
      <c r="AU67" t="s">
        <v>62</v>
      </c>
      <c r="AV67" t="s">
        <v>63</v>
      </c>
      <c r="AW67" t="s">
        <v>60</v>
      </c>
      <c r="AX67" t="s">
        <v>60</v>
      </c>
      <c r="AY67" t="s">
        <v>60</v>
      </c>
      <c r="AZ67" t="s">
        <v>78</v>
      </c>
      <c r="BA67">
        <v>6</v>
      </c>
      <c r="BB67">
        <v>4</v>
      </c>
      <c r="BC67" t="s">
        <v>65</v>
      </c>
    </row>
    <row r="68" spans="1:55" ht="16" x14ac:dyDescent="0.2">
      <c r="A68" s="7" t="s">
        <v>5</v>
      </c>
      <c r="B68" s="7" t="s">
        <v>6</v>
      </c>
      <c r="C68" s="8">
        <v>9</v>
      </c>
      <c r="D68" s="9">
        <v>0</v>
      </c>
      <c r="E68" s="8">
        <v>3</v>
      </c>
      <c r="F68" s="9">
        <v>0</v>
      </c>
      <c r="G68" s="3" t="e">
        <v>#N/A</v>
      </c>
      <c r="H68">
        <v>0</v>
      </c>
      <c r="I68">
        <v>0.5</v>
      </c>
      <c r="J68">
        <v>0</v>
      </c>
      <c r="K68">
        <v>0.25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f t="shared" si="10"/>
        <v>9</v>
      </c>
      <c r="U68">
        <f t="shared" si="11"/>
        <v>0</v>
      </c>
      <c r="V68">
        <f t="shared" si="12"/>
        <v>3</v>
      </c>
      <c r="W68">
        <f t="shared" si="13"/>
        <v>0</v>
      </c>
      <c r="X68" t="e">
        <f t="shared" si="14"/>
        <v>#N/A</v>
      </c>
      <c r="Y68" t="str">
        <f>+VLOOKUP(A68,'[1]Tárgy kurzusai'!$A:$C,3,0)</f>
        <v>P:08:00-09:30(E.3.338)</v>
      </c>
      <c r="Z68">
        <f>+VLOOKUP(A68,'[1]Tárgy kurzusai'!$A:$F,6,0)</f>
        <v>3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</row>
    <row r="69" spans="1:55" ht="16" x14ac:dyDescent="0.2">
      <c r="A69" s="7" t="s">
        <v>5</v>
      </c>
      <c r="B69" s="7" t="s">
        <v>6</v>
      </c>
      <c r="C69" s="8">
        <v>12</v>
      </c>
      <c r="D69" s="8">
        <v>13</v>
      </c>
      <c r="E69" s="8">
        <v>10</v>
      </c>
      <c r="F69" s="8">
        <v>10.5</v>
      </c>
      <c r="G69" s="3">
        <v>-20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0.75</v>
      </c>
      <c r="R69">
        <v>1</v>
      </c>
      <c r="S69">
        <v>1</v>
      </c>
      <c r="T69">
        <f t="shared" si="10"/>
        <v>12</v>
      </c>
      <c r="U69">
        <f t="shared" si="11"/>
        <v>13</v>
      </c>
      <c r="V69">
        <f t="shared" si="12"/>
        <v>10</v>
      </c>
      <c r="W69">
        <f t="shared" si="13"/>
        <v>10.5</v>
      </c>
      <c r="X69">
        <f t="shared" si="14"/>
        <v>20</v>
      </c>
      <c r="Y69" t="str">
        <f>+VLOOKUP(A69,'[1]Tárgy kurzusai'!$A:$C,3,0)</f>
        <v>P:08:00-09:30(E.3.338)</v>
      </c>
      <c r="Z69">
        <f>+VLOOKUP(A69,'[1]Tárgy kurzusai'!$A:$F,6,0)</f>
        <v>3</v>
      </c>
      <c r="AA69" t="s">
        <v>66</v>
      </c>
      <c r="AB69" t="s">
        <v>50</v>
      </c>
      <c r="AC69" t="s">
        <v>74</v>
      </c>
      <c r="AD69" t="s">
        <v>60</v>
      </c>
      <c r="AE69" t="s">
        <v>53</v>
      </c>
      <c r="AF69" t="s">
        <v>69</v>
      </c>
      <c r="AG69" t="s">
        <v>55</v>
      </c>
      <c r="AH69" t="s">
        <v>56</v>
      </c>
      <c r="AI69" t="s">
        <v>55</v>
      </c>
      <c r="AJ69" t="s">
        <v>57</v>
      </c>
      <c r="AK69" t="s">
        <v>79</v>
      </c>
      <c r="AL69" t="s">
        <v>59</v>
      </c>
      <c r="AM69" t="s">
        <v>60</v>
      </c>
      <c r="AN69">
        <v>7</v>
      </c>
      <c r="AO69">
        <v>34</v>
      </c>
      <c r="AP69">
        <v>5</v>
      </c>
      <c r="AQ69">
        <v>12</v>
      </c>
      <c r="AR69" t="s">
        <v>55</v>
      </c>
      <c r="AS69" t="s">
        <v>61</v>
      </c>
      <c r="AT69" t="s">
        <v>55</v>
      </c>
      <c r="AU69" t="s">
        <v>62</v>
      </c>
      <c r="AV69" t="s">
        <v>63</v>
      </c>
      <c r="AW69" t="s">
        <v>60</v>
      </c>
      <c r="AX69" t="s">
        <v>60</v>
      </c>
      <c r="AY69">
        <v>4</v>
      </c>
      <c r="AZ69" t="s">
        <v>64</v>
      </c>
      <c r="BA69">
        <v>7</v>
      </c>
      <c r="BB69">
        <v>7</v>
      </c>
      <c r="BC69" t="s">
        <v>76</v>
      </c>
    </row>
    <row r="70" spans="1:55" ht="16" x14ac:dyDescent="0.2">
      <c r="A70" s="7" t="s">
        <v>5</v>
      </c>
      <c r="B70" s="7" t="s">
        <v>6</v>
      </c>
      <c r="C70" s="8">
        <v>13</v>
      </c>
      <c r="D70" s="8">
        <v>14</v>
      </c>
      <c r="E70" s="8">
        <v>12</v>
      </c>
      <c r="F70" s="8">
        <v>15</v>
      </c>
      <c r="G70" s="3">
        <v>-13.5</v>
      </c>
      <c r="H70">
        <v>1</v>
      </c>
      <c r="I70">
        <v>0.75</v>
      </c>
      <c r="J70">
        <v>1</v>
      </c>
      <c r="K70">
        <v>1</v>
      </c>
      <c r="L70">
        <v>0.5</v>
      </c>
      <c r="M70">
        <v>1</v>
      </c>
      <c r="N70">
        <v>0.75</v>
      </c>
      <c r="O70">
        <v>1</v>
      </c>
      <c r="P70">
        <v>1</v>
      </c>
      <c r="Q70">
        <v>0.5</v>
      </c>
      <c r="R70">
        <v>1</v>
      </c>
      <c r="S70">
        <v>1</v>
      </c>
      <c r="T70">
        <f t="shared" si="10"/>
        <v>13</v>
      </c>
      <c r="U70">
        <f t="shared" si="11"/>
        <v>14</v>
      </c>
      <c r="V70">
        <f t="shared" si="12"/>
        <v>12</v>
      </c>
      <c r="W70">
        <f t="shared" si="13"/>
        <v>15</v>
      </c>
      <c r="X70">
        <f t="shared" si="14"/>
        <v>26.5</v>
      </c>
      <c r="Y70" t="str">
        <f>+VLOOKUP(A70,'[1]Tárgy kurzusai'!$A:$C,3,0)</f>
        <v>P:08:00-09:30(E.3.338)</v>
      </c>
      <c r="Z70">
        <f>+VLOOKUP(A70,'[1]Tárgy kurzusai'!$A:$F,6,0)</f>
        <v>3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</row>
    <row r="71" spans="1:55" ht="16" x14ac:dyDescent="0.2">
      <c r="A71" s="7" t="s">
        <v>5</v>
      </c>
      <c r="B71" s="7" t="s">
        <v>6</v>
      </c>
      <c r="C71" s="8">
        <v>11</v>
      </c>
      <c r="D71" s="8">
        <v>5</v>
      </c>
      <c r="E71" s="8">
        <v>13.5</v>
      </c>
      <c r="F71" s="8">
        <v>12</v>
      </c>
      <c r="G71" s="3">
        <v>-15</v>
      </c>
      <c r="H71">
        <v>1</v>
      </c>
      <c r="I71">
        <v>1</v>
      </c>
      <c r="J71">
        <v>0.5</v>
      </c>
      <c r="K71">
        <v>1</v>
      </c>
      <c r="L71">
        <v>1</v>
      </c>
      <c r="M71">
        <v>1</v>
      </c>
      <c r="N71">
        <v>1</v>
      </c>
      <c r="O71">
        <v>0.67</v>
      </c>
      <c r="P71">
        <v>1</v>
      </c>
      <c r="Q71">
        <v>0.5</v>
      </c>
      <c r="R71">
        <v>1</v>
      </c>
      <c r="S71">
        <v>1</v>
      </c>
      <c r="T71">
        <f t="shared" si="10"/>
        <v>11</v>
      </c>
      <c r="U71">
        <f t="shared" si="11"/>
        <v>5</v>
      </c>
      <c r="V71">
        <f t="shared" si="12"/>
        <v>13.5</v>
      </c>
      <c r="W71">
        <f t="shared" si="13"/>
        <v>12</v>
      </c>
      <c r="X71">
        <f t="shared" si="14"/>
        <v>25</v>
      </c>
      <c r="Y71" t="str">
        <f>+VLOOKUP(A71,'[1]Tárgy kurzusai'!$A:$C,3,0)</f>
        <v>P:08:00-09:30(E.3.338)</v>
      </c>
      <c r="Z71">
        <f>+VLOOKUP(A71,'[1]Tárgy kurzusai'!$A:$F,6,0)</f>
        <v>3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</row>
    <row r="72" spans="1:55" ht="16" x14ac:dyDescent="0.2">
      <c r="A72" s="7" t="s">
        <v>5</v>
      </c>
      <c r="B72" s="7" t="s">
        <v>6</v>
      </c>
      <c r="C72" s="8">
        <v>15</v>
      </c>
      <c r="D72" s="8">
        <v>7.5</v>
      </c>
      <c r="E72" s="8">
        <v>9</v>
      </c>
      <c r="F72" s="9">
        <v>0</v>
      </c>
      <c r="G72" s="3" t="e">
        <v>#N/A</v>
      </c>
      <c r="H72">
        <v>0.75</v>
      </c>
      <c r="I72">
        <v>0.5</v>
      </c>
      <c r="J72">
        <v>1</v>
      </c>
      <c r="K72">
        <v>1</v>
      </c>
      <c r="L72">
        <v>0</v>
      </c>
      <c r="M72">
        <v>1</v>
      </c>
      <c r="N72">
        <v>0.75</v>
      </c>
      <c r="O72">
        <v>0</v>
      </c>
      <c r="P72">
        <v>1</v>
      </c>
      <c r="Q72">
        <v>0.25</v>
      </c>
      <c r="R72">
        <v>0</v>
      </c>
      <c r="S72">
        <v>0</v>
      </c>
      <c r="T72">
        <f t="shared" si="10"/>
        <v>15</v>
      </c>
      <c r="U72">
        <f t="shared" si="11"/>
        <v>7.5</v>
      </c>
      <c r="V72">
        <f t="shared" si="12"/>
        <v>9</v>
      </c>
      <c r="W72">
        <f t="shared" si="13"/>
        <v>0</v>
      </c>
      <c r="X72" t="e">
        <f t="shared" si="14"/>
        <v>#N/A</v>
      </c>
      <c r="Y72" t="str">
        <f>+VLOOKUP(A72,'[1]Tárgy kurzusai'!$A:$C,3,0)</f>
        <v>P:08:00-09:30(E.3.338)</v>
      </c>
      <c r="Z72">
        <f>+VLOOKUP(A72,'[1]Tárgy kurzusai'!$A:$F,6,0)</f>
        <v>3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</row>
    <row r="73" spans="1:55" ht="16" x14ac:dyDescent="0.2">
      <c r="A73" s="7" t="s">
        <v>5</v>
      </c>
      <c r="B73" s="7" t="s">
        <v>6</v>
      </c>
      <c r="C73" s="8">
        <v>14</v>
      </c>
      <c r="D73" s="8">
        <v>11</v>
      </c>
      <c r="E73" s="8">
        <v>11</v>
      </c>
      <c r="F73" s="8">
        <v>14.5</v>
      </c>
      <c r="G73" s="3">
        <v>-10.5</v>
      </c>
      <c r="H73">
        <v>1</v>
      </c>
      <c r="I73">
        <v>1</v>
      </c>
      <c r="J73">
        <v>1</v>
      </c>
      <c r="K73">
        <v>1</v>
      </c>
      <c r="L73">
        <v>0.5</v>
      </c>
      <c r="M73">
        <v>0.75</v>
      </c>
      <c r="N73">
        <v>0.75</v>
      </c>
      <c r="O73">
        <v>1</v>
      </c>
      <c r="P73">
        <v>1</v>
      </c>
      <c r="Q73">
        <v>1</v>
      </c>
      <c r="R73">
        <v>1</v>
      </c>
      <c r="S73">
        <v>1</v>
      </c>
      <c r="T73">
        <f t="shared" si="10"/>
        <v>14</v>
      </c>
      <c r="U73">
        <f t="shared" si="11"/>
        <v>11</v>
      </c>
      <c r="V73">
        <f t="shared" si="12"/>
        <v>11</v>
      </c>
      <c r="W73">
        <f t="shared" si="13"/>
        <v>14.5</v>
      </c>
      <c r="X73">
        <f t="shared" si="14"/>
        <v>29.5</v>
      </c>
      <c r="Y73" t="str">
        <f>+VLOOKUP(A73,'[1]Tárgy kurzusai'!$A:$C,3,0)</f>
        <v>P:08:00-09:30(E.3.338)</v>
      </c>
      <c r="Z73">
        <f>+VLOOKUP(A73,'[1]Tárgy kurzusai'!$A:$F,6,0)</f>
        <v>3</v>
      </c>
      <c r="AA73" t="s">
        <v>66</v>
      </c>
      <c r="AB73" t="s">
        <v>50</v>
      </c>
      <c r="AC73" t="s">
        <v>74</v>
      </c>
      <c r="AD73" t="s">
        <v>60</v>
      </c>
      <c r="AE73" t="s">
        <v>69</v>
      </c>
      <c r="AF73" t="s">
        <v>69</v>
      </c>
      <c r="AG73" t="s">
        <v>55</v>
      </c>
      <c r="AH73" t="s">
        <v>55</v>
      </c>
      <c r="AI73" t="s">
        <v>55</v>
      </c>
      <c r="AJ73" t="s">
        <v>57</v>
      </c>
      <c r="AK73" t="s">
        <v>58</v>
      </c>
      <c r="AL73" t="s">
        <v>59</v>
      </c>
      <c r="AM73" t="s">
        <v>60</v>
      </c>
      <c r="AN73">
        <v>6</v>
      </c>
      <c r="AO73">
        <v>30</v>
      </c>
      <c r="AP73">
        <v>5</v>
      </c>
      <c r="AQ73">
        <v>12</v>
      </c>
      <c r="AR73" t="s">
        <v>55</v>
      </c>
      <c r="AS73" t="s">
        <v>61</v>
      </c>
      <c r="AT73" t="s">
        <v>56</v>
      </c>
      <c r="AU73" t="s">
        <v>62</v>
      </c>
      <c r="AV73" t="s">
        <v>63</v>
      </c>
      <c r="AW73" t="s">
        <v>60</v>
      </c>
      <c r="AX73" t="s">
        <v>60</v>
      </c>
      <c r="AY73">
        <v>4</v>
      </c>
      <c r="AZ73" t="s">
        <v>64</v>
      </c>
      <c r="BA73">
        <v>8</v>
      </c>
      <c r="BB73">
        <v>8</v>
      </c>
      <c r="BC73" t="s">
        <v>76</v>
      </c>
    </row>
    <row r="74" spans="1:55" ht="16" x14ac:dyDescent="0.2">
      <c r="A74" s="7" t="s">
        <v>5</v>
      </c>
      <c r="B74" s="7" t="s">
        <v>6</v>
      </c>
      <c r="C74" s="9">
        <v>0</v>
      </c>
      <c r="D74" s="9">
        <v>0</v>
      </c>
      <c r="E74" s="9">
        <v>0</v>
      </c>
      <c r="F74" s="9">
        <v>0</v>
      </c>
      <c r="G74" s="3" t="e">
        <v>#N/A</v>
      </c>
      <c r="H74">
        <v>1</v>
      </c>
      <c r="I74">
        <v>0</v>
      </c>
      <c r="J74">
        <v>0.5</v>
      </c>
      <c r="K74">
        <v>1</v>
      </c>
      <c r="L74">
        <v>0</v>
      </c>
      <c r="M74">
        <v>0</v>
      </c>
      <c r="N74">
        <v>1</v>
      </c>
      <c r="O74">
        <v>0.17</v>
      </c>
      <c r="P74">
        <v>1</v>
      </c>
      <c r="Q74">
        <v>1</v>
      </c>
      <c r="R74">
        <v>0</v>
      </c>
      <c r="S74">
        <v>0</v>
      </c>
      <c r="T74">
        <f t="shared" si="10"/>
        <v>0</v>
      </c>
      <c r="U74">
        <f t="shared" si="11"/>
        <v>0</v>
      </c>
      <c r="V74">
        <f t="shared" si="12"/>
        <v>0</v>
      </c>
      <c r="W74">
        <f t="shared" si="13"/>
        <v>0</v>
      </c>
      <c r="X74" t="e">
        <f t="shared" si="14"/>
        <v>#N/A</v>
      </c>
      <c r="Y74" t="str">
        <f>+VLOOKUP(A74,'[1]Tárgy kurzusai'!$A:$C,3,0)</f>
        <v>P:08:00-09:30(E.3.338)</v>
      </c>
      <c r="Z74">
        <f>+VLOOKUP(A74,'[1]Tárgy kurzusai'!$A:$F,6,0)</f>
        <v>3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</row>
    <row r="75" spans="1:55" ht="16" x14ac:dyDescent="0.2">
      <c r="A75" s="7" t="s">
        <v>5</v>
      </c>
      <c r="B75" s="7" t="s">
        <v>6</v>
      </c>
      <c r="C75" s="8">
        <v>6.5</v>
      </c>
      <c r="D75" s="8">
        <v>3</v>
      </c>
      <c r="E75" s="9">
        <v>0</v>
      </c>
      <c r="F75" s="9">
        <v>0</v>
      </c>
      <c r="G75" s="3">
        <v>0</v>
      </c>
      <c r="H75">
        <v>0.75</v>
      </c>
      <c r="I75">
        <v>1</v>
      </c>
      <c r="J75">
        <v>1</v>
      </c>
      <c r="K75">
        <v>1</v>
      </c>
      <c r="L75">
        <v>0.5</v>
      </c>
      <c r="M75">
        <v>1</v>
      </c>
      <c r="N75">
        <v>0.75</v>
      </c>
      <c r="O75">
        <v>1</v>
      </c>
      <c r="P75">
        <v>1</v>
      </c>
      <c r="Q75">
        <v>0.5</v>
      </c>
      <c r="R75">
        <v>1</v>
      </c>
      <c r="S75">
        <v>1</v>
      </c>
      <c r="T75">
        <f t="shared" si="10"/>
        <v>6.5</v>
      </c>
      <c r="U75">
        <f t="shared" si="11"/>
        <v>3</v>
      </c>
      <c r="V75">
        <f t="shared" si="12"/>
        <v>0</v>
      </c>
      <c r="W75">
        <f t="shared" si="13"/>
        <v>0</v>
      </c>
      <c r="X75">
        <f t="shared" si="14"/>
        <v>40</v>
      </c>
      <c r="Y75" t="str">
        <f>+VLOOKUP(A75,'[1]Tárgy kurzusai'!$A:$C,3,0)</f>
        <v>P:08:00-09:30(E.3.338)</v>
      </c>
      <c r="Z75">
        <f>+VLOOKUP(A75,'[1]Tárgy kurzusai'!$A:$F,6,0)</f>
        <v>3</v>
      </c>
      <c r="AA75" t="s">
        <v>66</v>
      </c>
      <c r="AB75" t="s">
        <v>71</v>
      </c>
      <c r="AC75" t="s">
        <v>74</v>
      </c>
      <c r="AD75" t="s">
        <v>60</v>
      </c>
      <c r="AE75" t="s">
        <v>69</v>
      </c>
      <c r="AF75" t="s">
        <v>69</v>
      </c>
      <c r="AG75" t="s">
        <v>55</v>
      </c>
      <c r="AH75" t="s">
        <v>55</v>
      </c>
      <c r="AI75" t="s">
        <v>55</v>
      </c>
      <c r="AJ75" t="s">
        <v>57</v>
      </c>
      <c r="AK75" t="s">
        <v>58</v>
      </c>
      <c r="AL75" t="s">
        <v>59</v>
      </c>
      <c r="AM75" t="s">
        <v>60</v>
      </c>
      <c r="AN75">
        <v>7</v>
      </c>
      <c r="AO75">
        <v>37</v>
      </c>
      <c r="AP75">
        <v>5</v>
      </c>
      <c r="AQ75">
        <v>13</v>
      </c>
      <c r="AR75" t="s">
        <v>55</v>
      </c>
      <c r="AS75" t="s">
        <v>61</v>
      </c>
      <c r="AT75" t="s">
        <v>56</v>
      </c>
      <c r="AU75" t="s">
        <v>62</v>
      </c>
      <c r="AV75" t="s">
        <v>63</v>
      </c>
      <c r="AW75" t="s">
        <v>60</v>
      </c>
      <c r="AX75" t="s">
        <v>60</v>
      </c>
      <c r="AY75">
        <v>4</v>
      </c>
      <c r="AZ75" t="s">
        <v>64</v>
      </c>
      <c r="BA75">
        <v>7</v>
      </c>
      <c r="BB75">
        <v>9</v>
      </c>
      <c r="BC75" t="s">
        <v>65</v>
      </c>
    </row>
    <row r="76" spans="1:55" ht="16" x14ac:dyDescent="0.2">
      <c r="A76" s="7" t="s">
        <v>5</v>
      </c>
      <c r="B76" s="7" t="s">
        <v>6</v>
      </c>
      <c r="C76" s="8">
        <v>8</v>
      </c>
      <c r="D76" s="9">
        <v>0</v>
      </c>
      <c r="E76" s="8">
        <v>4</v>
      </c>
      <c r="F76" s="9">
        <v>0</v>
      </c>
      <c r="G76" s="3" t="e">
        <v>#N/A</v>
      </c>
      <c r="H76">
        <v>1</v>
      </c>
      <c r="I76">
        <v>1</v>
      </c>
      <c r="J76">
        <v>1</v>
      </c>
      <c r="K76">
        <v>1</v>
      </c>
      <c r="L76">
        <v>0.5</v>
      </c>
      <c r="M76">
        <v>1</v>
      </c>
      <c r="N76">
        <v>0</v>
      </c>
      <c r="O76">
        <v>1</v>
      </c>
      <c r="P76">
        <v>1</v>
      </c>
      <c r="Q76">
        <v>1</v>
      </c>
      <c r="R76">
        <v>0</v>
      </c>
      <c r="S76">
        <v>0</v>
      </c>
      <c r="T76">
        <f t="shared" si="10"/>
        <v>8</v>
      </c>
      <c r="U76">
        <f t="shared" si="11"/>
        <v>0</v>
      </c>
      <c r="V76">
        <f t="shared" si="12"/>
        <v>4</v>
      </c>
      <c r="W76">
        <f t="shared" si="13"/>
        <v>0</v>
      </c>
      <c r="X76" t="e">
        <f t="shared" si="14"/>
        <v>#N/A</v>
      </c>
      <c r="Y76" t="str">
        <f>+VLOOKUP(A76,'[1]Tárgy kurzusai'!$A:$C,3,0)</f>
        <v>P:08:00-09:30(E.3.338)</v>
      </c>
      <c r="Z76">
        <f>+VLOOKUP(A76,'[1]Tárgy kurzusai'!$A:$F,6,0)</f>
        <v>3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</row>
    <row r="77" spans="1:55" ht="16" x14ac:dyDescent="0.2">
      <c r="A77" s="7" t="s">
        <v>5</v>
      </c>
      <c r="B77" s="7" t="s">
        <v>6</v>
      </c>
      <c r="C77" s="8">
        <v>6</v>
      </c>
      <c r="D77" s="8">
        <v>7</v>
      </c>
      <c r="E77" s="8">
        <v>8.5</v>
      </c>
      <c r="F77" s="8">
        <v>10</v>
      </c>
      <c r="G77" s="3">
        <v>-21</v>
      </c>
      <c r="H77">
        <v>1</v>
      </c>
      <c r="I77">
        <v>1</v>
      </c>
      <c r="J77">
        <v>0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0.75</v>
      </c>
      <c r="R77">
        <v>1</v>
      </c>
      <c r="S77">
        <v>1</v>
      </c>
      <c r="T77">
        <f t="shared" si="10"/>
        <v>6</v>
      </c>
      <c r="U77">
        <f t="shared" si="11"/>
        <v>7</v>
      </c>
      <c r="V77">
        <f t="shared" si="12"/>
        <v>8.5</v>
      </c>
      <c r="W77">
        <f t="shared" si="13"/>
        <v>10</v>
      </c>
      <c r="X77">
        <f t="shared" si="14"/>
        <v>19</v>
      </c>
      <c r="Y77" t="str">
        <f>+VLOOKUP(A77,'[1]Tárgy kurzusai'!$A:$C,3,0)</f>
        <v>P:08:00-09:30(E.3.338)</v>
      </c>
      <c r="Z77">
        <f>+VLOOKUP(A77,'[1]Tárgy kurzusai'!$A:$F,6,0)</f>
        <v>3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</row>
    <row r="78" spans="1:55" ht="16" x14ac:dyDescent="0.2">
      <c r="A78" s="7" t="s">
        <v>5</v>
      </c>
      <c r="B78" s="7" t="s">
        <v>6</v>
      </c>
      <c r="C78" s="8">
        <v>11</v>
      </c>
      <c r="D78" s="8">
        <v>14</v>
      </c>
      <c r="E78" s="8">
        <v>7</v>
      </c>
      <c r="F78" s="8">
        <v>11</v>
      </c>
      <c r="G78" s="3">
        <v>-24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0.5</v>
      </c>
      <c r="P78">
        <v>1</v>
      </c>
      <c r="Q78">
        <v>0.75</v>
      </c>
      <c r="R78">
        <v>1</v>
      </c>
      <c r="S78">
        <v>1</v>
      </c>
      <c r="T78">
        <f t="shared" si="10"/>
        <v>11</v>
      </c>
      <c r="U78">
        <f t="shared" si="11"/>
        <v>14</v>
      </c>
      <c r="V78">
        <f t="shared" si="12"/>
        <v>7</v>
      </c>
      <c r="W78">
        <f t="shared" si="13"/>
        <v>11</v>
      </c>
      <c r="X78">
        <f t="shared" si="14"/>
        <v>16</v>
      </c>
      <c r="Y78" t="str">
        <f>+VLOOKUP(A78,'[1]Tárgy kurzusai'!$A:$C,3,0)</f>
        <v>P:08:00-09:30(E.3.338)</v>
      </c>
      <c r="Z78">
        <f>+VLOOKUP(A78,'[1]Tárgy kurzusai'!$A:$F,6,0)</f>
        <v>3</v>
      </c>
      <c r="AA78" t="s">
        <v>49</v>
      </c>
      <c r="AB78" t="s">
        <v>71</v>
      </c>
      <c r="AC78" t="s">
        <v>72</v>
      </c>
      <c r="AD78" t="s">
        <v>103</v>
      </c>
      <c r="AE78" t="s">
        <v>53</v>
      </c>
      <c r="AF78" t="s">
        <v>69</v>
      </c>
      <c r="AG78" t="s">
        <v>55</v>
      </c>
      <c r="AH78" t="s">
        <v>55</v>
      </c>
      <c r="AI78" t="s">
        <v>56</v>
      </c>
      <c r="AJ78" t="s">
        <v>57</v>
      </c>
      <c r="AK78" t="s">
        <v>58</v>
      </c>
      <c r="AL78" t="s">
        <v>59</v>
      </c>
      <c r="AM78" t="s">
        <v>60</v>
      </c>
      <c r="AN78">
        <v>8</v>
      </c>
      <c r="AO78">
        <v>36</v>
      </c>
      <c r="AP78">
        <v>5</v>
      </c>
      <c r="AQ78">
        <v>14</v>
      </c>
      <c r="AR78" t="s">
        <v>55</v>
      </c>
      <c r="AS78" t="s">
        <v>61</v>
      </c>
      <c r="AT78" t="s">
        <v>55</v>
      </c>
      <c r="AU78" t="s">
        <v>62</v>
      </c>
      <c r="AV78" t="s">
        <v>63</v>
      </c>
      <c r="AW78" t="s">
        <v>60</v>
      </c>
      <c r="AX78" t="s">
        <v>60</v>
      </c>
      <c r="AY78">
        <v>4</v>
      </c>
      <c r="AZ78" t="s">
        <v>64</v>
      </c>
      <c r="BA78">
        <v>7</v>
      </c>
      <c r="BB78">
        <v>4</v>
      </c>
      <c r="BC78" t="s">
        <v>65</v>
      </c>
    </row>
    <row r="79" spans="1:55" ht="16" x14ac:dyDescent="0.2">
      <c r="A79" s="7" t="s">
        <v>5</v>
      </c>
      <c r="B79" s="7" t="s">
        <v>6</v>
      </c>
      <c r="C79" s="8">
        <v>13.5</v>
      </c>
      <c r="D79" s="8">
        <v>13</v>
      </c>
      <c r="E79" s="9">
        <v>0</v>
      </c>
      <c r="F79" s="9">
        <v>0</v>
      </c>
      <c r="G79" s="3" t="e">
        <v>#N/A</v>
      </c>
      <c r="H79">
        <v>0.75</v>
      </c>
      <c r="I79">
        <v>0.5</v>
      </c>
      <c r="J79">
        <v>1</v>
      </c>
      <c r="K79">
        <v>1</v>
      </c>
      <c r="L79">
        <v>0.5</v>
      </c>
      <c r="M79">
        <v>0</v>
      </c>
      <c r="N79">
        <v>1</v>
      </c>
      <c r="O79">
        <v>0</v>
      </c>
      <c r="P79">
        <v>1</v>
      </c>
      <c r="Q79">
        <v>0.25</v>
      </c>
      <c r="R79">
        <v>0</v>
      </c>
      <c r="S79">
        <v>0</v>
      </c>
      <c r="T79">
        <f t="shared" si="10"/>
        <v>13.5</v>
      </c>
      <c r="U79">
        <f t="shared" si="11"/>
        <v>13</v>
      </c>
      <c r="V79">
        <f t="shared" si="12"/>
        <v>0</v>
      </c>
      <c r="W79">
        <f t="shared" si="13"/>
        <v>0</v>
      </c>
      <c r="X79" t="e">
        <f t="shared" si="14"/>
        <v>#N/A</v>
      </c>
      <c r="Y79" t="str">
        <f>+VLOOKUP(A79,'[1]Tárgy kurzusai'!$A:$C,3,0)</f>
        <v>P:08:00-09:30(E.3.338)</v>
      </c>
      <c r="Z79">
        <f>+VLOOKUP(A79,'[1]Tárgy kurzusai'!$A:$F,6,0)</f>
        <v>3</v>
      </c>
      <c r="AA79" t="s">
        <v>66</v>
      </c>
      <c r="AB79" t="s">
        <v>67</v>
      </c>
      <c r="AC79" t="s">
        <v>74</v>
      </c>
      <c r="AD79" t="s">
        <v>60</v>
      </c>
      <c r="AE79" t="s">
        <v>53</v>
      </c>
      <c r="AF79" t="s">
        <v>69</v>
      </c>
      <c r="AG79" t="s">
        <v>55</v>
      </c>
      <c r="AH79" t="s">
        <v>55</v>
      </c>
      <c r="AI79" t="s">
        <v>55</v>
      </c>
      <c r="AJ79" t="s">
        <v>104</v>
      </c>
      <c r="AK79" t="s">
        <v>79</v>
      </c>
      <c r="AL79" t="s">
        <v>105</v>
      </c>
      <c r="AM79">
        <v>0</v>
      </c>
      <c r="AN79">
        <v>8</v>
      </c>
      <c r="AO79">
        <v>40</v>
      </c>
      <c r="AP79">
        <v>8</v>
      </c>
      <c r="AQ79">
        <v>15</v>
      </c>
      <c r="AR79" t="s">
        <v>55</v>
      </c>
      <c r="AS79" t="s">
        <v>61</v>
      </c>
      <c r="AT79" t="s">
        <v>56</v>
      </c>
      <c r="AU79" t="s">
        <v>62</v>
      </c>
      <c r="AV79" t="s">
        <v>97</v>
      </c>
      <c r="AW79" t="s">
        <v>98</v>
      </c>
      <c r="AX79" t="s">
        <v>60</v>
      </c>
      <c r="AY79">
        <v>4</v>
      </c>
      <c r="AZ79" t="s">
        <v>78</v>
      </c>
      <c r="BA79">
        <v>7</v>
      </c>
      <c r="BB79">
        <v>8</v>
      </c>
      <c r="BC79" t="s">
        <v>70</v>
      </c>
    </row>
    <row r="80" spans="1:55" ht="16" x14ac:dyDescent="0.2">
      <c r="A80" s="7" t="s">
        <v>5</v>
      </c>
      <c r="B80" s="7" t="s">
        <v>6</v>
      </c>
      <c r="C80" s="8">
        <v>2</v>
      </c>
      <c r="D80" s="8">
        <v>8</v>
      </c>
      <c r="E80" s="8">
        <v>8</v>
      </c>
      <c r="F80" s="9">
        <v>0</v>
      </c>
      <c r="G80" s="3" t="e">
        <v>#N/A</v>
      </c>
      <c r="H80">
        <v>1</v>
      </c>
      <c r="I80">
        <v>1</v>
      </c>
      <c r="J80">
        <v>0</v>
      </c>
      <c r="K80">
        <v>1</v>
      </c>
      <c r="L80">
        <v>0</v>
      </c>
      <c r="M80">
        <v>1</v>
      </c>
      <c r="N80">
        <v>1</v>
      </c>
      <c r="O80">
        <v>0</v>
      </c>
      <c r="P80">
        <v>1</v>
      </c>
      <c r="Q80">
        <v>0.75</v>
      </c>
      <c r="R80">
        <v>1</v>
      </c>
      <c r="S80">
        <v>1</v>
      </c>
      <c r="T80">
        <f t="shared" si="10"/>
        <v>2</v>
      </c>
      <c r="U80">
        <f t="shared" si="11"/>
        <v>8</v>
      </c>
      <c r="V80">
        <f t="shared" si="12"/>
        <v>8</v>
      </c>
      <c r="W80">
        <f t="shared" si="13"/>
        <v>0</v>
      </c>
      <c r="X80" t="e">
        <f t="shared" si="14"/>
        <v>#N/A</v>
      </c>
      <c r="Y80" t="str">
        <f>+VLOOKUP(A80,'[1]Tárgy kurzusai'!$A:$C,3,0)</f>
        <v>P:08:00-09:30(E.3.338)</v>
      </c>
      <c r="Z80">
        <f>+VLOOKUP(A80,'[1]Tárgy kurzusai'!$A:$F,6,0)</f>
        <v>3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</row>
    <row r="81" spans="1:55" ht="16" x14ac:dyDescent="0.2">
      <c r="A81" s="7" t="s">
        <v>5</v>
      </c>
      <c r="B81" s="7" t="s">
        <v>6</v>
      </c>
      <c r="C81" s="8">
        <v>16</v>
      </c>
      <c r="D81" s="8">
        <v>15</v>
      </c>
      <c r="E81" s="8">
        <v>14</v>
      </c>
      <c r="F81" s="8">
        <v>7</v>
      </c>
      <c r="G81" s="3">
        <v>-10.5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0.75</v>
      </c>
      <c r="R81">
        <v>1</v>
      </c>
      <c r="S81">
        <v>1</v>
      </c>
      <c r="T81">
        <f t="shared" si="10"/>
        <v>16</v>
      </c>
      <c r="U81">
        <f t="shared" si="11"/>
        <v>15</v>
      </c>
      <c r="V81">
        <f t="shared" si="12"/>
        <v>14</v>
      </c>
      <c r="W81">
        <f t="shared" si="13"/>
        <v>7</v>
      </c>
      <c r="X81">
        <f t="shared" si="14"/>
        <v>29.5</v>
      </c>
      <c r="Y81" t="str">
        <f>+VLOOKUP(A81,'[1]Tárgy kurzusai'!$A:$C,3,0)</f>
        <v>P:08:00-09:30(E.3.338)</v>
      </c>
      <c r="Z81">
        <f>+VLOOKUP(A81,'[1]Tárgy kurzusai'!$A:$F,6,0)</f>
        <v>3</v>
      </c>
      <c r="AA81" t="s">
        <v>49</v>
      </c>
      <c r="AB81" t="s">
        <v>71</v>
      </c>
      <c r="AC81" t="s">
        <v>74</v>
      </c>
      <c r="AD81" t="s">
        <v>60</v>
      </c>
      <c r="AE81" t="s">
        <v>69</v>
      </c>
      <c r="AF81" t="s">
        <v>69</v>
      </c>
      <c r="AG81" t="s">
        <v>55</v>
      </c>
      <c r="AH81" t="s">
        <v>55</v>
      </c>
      <c r="AI81" t="s">
        <v>56</v>
      </c>
      <c r="AJ81" t="s">
        <v>57</v>
      </c>
      <c r="AK81" t="s">
        <v>58</v>
      </c>
      <c r="AL81" t="s">
        <v>59</v>
      </c>
      <c r="AM81" t="s">
        <v>60</v>
      </c>
      <c r="AN81">
        <v>7</v>
      </c>
      <c r="AO81">
        <v>39</v>
      </c>
      <c r="AP81">
        <v>6</v>
      </c>
      <c r="AQ81">
        <v>14</v>
      </c>
      <c r="AR81" t="s">
        <v>55</v>
      </c>
      <c r="AS81" t="s">
        <v>55</v>
      </c>
      <c r="AT81" t="s">
        <v>56</v>
      </c>
      <c r="AU81" t="s">
        <v>62</v>
      </c>
      <c r="AV81" t="s">
        <v>63</v>
      </c>
      <c r="AW81" t="s">
        <v>60</v>
      </c>
      <c r="AX81" t="s">
        <v>60</v>
      </c>
      <c r="AY81">
        <v>4</v>
      </c>
      <c r="AZ81" t="s">
        <v>64</v>
      </c>
      <c r="BA81">
        <v>5</v>
      </c>
      <c r="BB81">
        <v>3</v>
      </c>
      <c r="BC81" t="s">
        <v>65</v>
      </c>
    </row>
    <row r="82" spans="1:55" ht="16" x14ac:dyDescent="0.2">
      <c r="A82" s="7" t="s">
        <v>5</v>
      </c>
      <c r="B82" s="7" t="s">
        <v>6</v>
      </c>
      <c r="C82" s="8">
        <v>8</v>
      </c>
      <c r="D82" s="8">
        <v>15</v>
      </c>
      <c r="E82" s="8">
        <v>10</v>
      </c>
      <c r="F82" s="8">
        <v>7</v>
      </c>
      <c r="G82" s="3">
        <v>-13.5</v>
      </c>
      <c r="H82">
        <v>1</v>
      </c>
      <c r="I82">
        <v>0.75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0.75</v>
      </c>
      <c r="R82">
        <v>1</v>
      </c>
      <c r="S82">
        <v>1</v>
      </c>
      <c r="T82">
        <f t="shared" si="10"/>
        <v>8</v>
      </c>
      <c r="U82">
        <f t="shared" si="11"/>
        <v>15</v>
      </c>
      <c r="V82">
        <f t="shared" si="12"/>
        <v>10</v>
      </c>
      <c r="W82">
        <f t="shared" si="13"/>
        <v>7</v>
      </c>
      <c r="X82">
        <f t="shared" si="14"/>
        <v>26.5</v>
      </c>
      <c r="Y82" t="str">
        <f>+VLOOKUP(A82,'[1]Tárgy kurzusai'!$A:$C,3,0)</f>
        <v>P:08:00-09:30(E.3.338)</v>
      </c>
      <c r="Z82">
        <f>+VLOOKUP(A82,'[1]Tárgy kurzusai'!$A:$F,6,0)</f>
        <v>3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</row>
    <row r="83" spans="1:55" ht="16" x14ac:dyDescent="0.2">
      <c r="A83" s="7" t="s">
        <v>5</v>
      </c>
      <c r="B83" s="7" t="s">
        <v>6</v>
      </c>
      <c r="C83" s="8">
        <v>14</v>
      </c>
      <c r="D83" s="8">
        <v>12.5</v>
      </c>
      <c r="E83" s="8">
        <v>14</v>
      </c>
      <c r="F83" s="9">
        <v>0</v>
      </c>
      <c r="G83" s="3">
        <v>-14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0.5</v>
      </c>
      <c r="R83">
        <v>0.75</v>
      </c>
      <c r="S83">
        <v>1</v>
      </c>
      <c r="T83">
        <f t="shared" si="10"/>
        <v>14</v>
      </c>
      <c r="U83">
        <f t="shared" si="11"/>
        <v>12.5</v>
      </c>
      <c r="V83">
        <f t="shared" si="12"/>
        <v>14</v>
      </c>
      <c r="W83">
        <f t="shared" si="13"/>
        <v>0</v>
      </c>
      <c r="X83">
        <f t="shared" si="14"/>
        <v>26</v>
      </c>
      <c r="Y83" t="str">
        <f>+VLOOKUP(A83,'[1]Tárgy kurzusai'!$A:$C,3,0)</f>
        <v>P:08:00-09:30(E.3.338)</v>
      </c>
      <c r="Z83">
        <f>+VLOOKUP(A83,'[1]Tárgy kurzusai'!$A:$F,6,0)</f>
        <v>3</v>
      </c>
      <c r="AA83" t="s">
        <v>49</v>
      </c>
      <c r="AB83" t="s">
        <v>101</v>
      </c>
      <c r="AC83" t="s">
        <v>72</v>
      </c>
      <c r="AD83" t="s">
        <v>100</v>
      </c>
      <c r="AE83" t="s">
        <v>69</v>
      </c>
      <c r="AF83" t="s">
        <v>69</v>
      </c>
      <c r="AG83" t="s">
        <v>55</v>
      </c>
      <c r="AH83" t="s">
        <v>55</v>
      </c>
      <c r="AI83" t="s">
        <v>55</v>
      </c>
      <c r="AJ83" t="s">
        <v>57</v>
      </c>
      <c r="AK83" t="s">
        <v>58</v>
      </c>
      <c r="AL83" t="s">
        <v>59</v>
      </c>
      <c r="AM83" t="s">
        <v>60</v>
      </c>
      <c r="AN83">
        <v>5</v>
      </c>
      <c r="AO83">
        <v>30</v>
      </c>
      <c r="AP83">
        <v>5</v>
      </c>
      <c r="AQ83">
        <v>10</v>
      </c>
      <c r="AR83" t="s">
        <v>106</v>
      </c>
      <c r="AS83" t="s">
        <v>61</v>
      </c>
      <c r="AT83" t="s">
        <v>56</v>
      </c>
      <c r="AU83" t="s">
        <v>62</v>
      </c>
      <c r="AV83" t="s">
        <v>63</v>
      </c>
      <c r="AW83" t="s">
        <v>60</v>
      </c>
      <c r="AX83" t="s">
        <v>60</v>
      </c>
      <c r="AY83">
        <v>2</v>
      </c>
      <c r="AZ83" t="s">
        <v>64</v>
      </c>
      <c r="BA83">
        <v>10</v>
      </c>
      <c r="BB83">
        <v>10</v>
      </c>
      <c r="BC83" t="s">
        <v>76</v>
      </c>
    </row>
    <row r="84" spans="1:55" ht="16" x14ac:dyDescent="0.2">
      <c r="A84" s="7" t="s">
        <v>5</v>
      </c>
      <c r="B84" s="7" t="s">
        <v>6</v>
      </c>
      <c r="C84" s="9">
        <v>0</v>
      </c>
      <c r="D84" s="9">
        <v>0</v>
      </c>
      <c r="E84" s="9">
        <v>0</v>
      </c>
      <c r="F84" s="9">
        <v>0</v>
      </c>
      <c r="G84" s="3">
        <v>0</v>
      </c>
      <c r="H84">
        <v>0.75</v>
      </c>
      <c r="I84">
        <v>0.5</v>
      </c>
      <c r="J84">
        <v>1</v>
      </c>
      <c r="K84">
        <v>1</v>
      </c>
      <c r="L84">
        <v>0</v>
      </c>
      <c r="M84">
        <v>0.5</v>
      </c>
      <c r="N84">
        <v>1</v>
      </c>
      <c r="O84">
        <v>1</v>
      </c>
      <c r="P84">
        <v>1</v>
      </c>
      <c r="Q84">
        <v>0.25</v>
      </c>
      <c r="R84">
        <v>1</v>
      </c>
      <c r="S84">
        <v>1</v>
      </c>
      <c r="T84">
        <f t="shared" si="10"/>
        <v>0</v>
      </c>
      <c r="U84">
        <f t="shared" si="11"/>
        <v>0</v>
      </c>
      <c r="V84">
        <f t="shared" si="12"/>
        <v>0</v>
      </c>
      <c r="W84">
        <f t="shared" si="13"/>
        <v>0</v>
      </c>
      <c r="X84">
        <f t="shared" si="14"/>
        <v>40</v>
      </c>
      <c r="Y84" t="str">
        <f>+VLOOKUP(A84,'[1]Tárgy kurzusai'!$A:$C,3,0)</f>
        <v>P:08:00-09:30(E.3.338)</v>
      </c>
      <c r="Z84">
        <f>+VLOOKUP(A84,'[1]Tárgy kurzusai'!$A:$F,6,0)</f>
        <v>3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</row>
    <row r="85" spans="1:55" ht="16" x14ac:dyDescent="0.2">
      <c r="A85" s="7" t="s">
        <v>5</v>
      </c>
      <c r="B85" s="7" t="s">
        <v>6</v>
      </c>
      <c r="C85" s="8">
        <v>3.5</v>
      </c>
      <c r="D85" s="8">
        <v>12</v>
      </c>
      <c r="E85" s="8">
        <v>11</v>
      </c>
      <c r="F85" s="8">
        <v>9</v>
      </c>
      <c r="G85" s="3">
        <v>-11</v>
      </c>
      <c r="H85">
        <v>0.75</v>
      </c>
      <c r="I85">
        <v>0</v>
      </c>
      <c r="J85">
        <v>0.75</v>
      </c>
      <c r="K85">
        <v>1</v>
      </c>
      <c r="L85">
        <v>1</v>
      </c>
      <c r="M85">
        <v>0.5</v>
      </c>
      <c r="N85">
        <v>0.5</v>
      </c>
      <c r="O85">
        <v>1</v>
      </c>
      <c r="P85">
        <v>1</v>
      </c>
      <c r="Q85">
        <v>0.5</v>
      </c>
      <c r="R85">
        <v>1</v>
      </c>
      <c r="S85">
        <v>1</v>
      </c>
      <c r="T85">
        <f t="shared" si="10"/>
        <v>3.5</v>
      </c>
      <c r="U85">
        <f t="shared" si="11"/>
        <v>12</v>
      </c>
      <c r="V85">
        <f t="shared" si="12"/>
        <v>11</v>
      </c>
      <c r="W85">
        <f t="shared" si="13"/>
        <v>9</v>
      </c>
      <c r="X85">
        <f t="shared" si="14"/>
        <v>29</v>
      </c>
      <c r="Y85" t="str">
        <f>+VLOOKUP(A85,'[1]Tárgy kurzusai'!$A:$C,3,0)</f>
        <v>P:08:00-09:30(E.3.338)</v>
      </c>
      <c r="Z85">
        <f>+VLOOKUP(A85,'[1]Tárgy kurzusai'!$A:$F,6,0)</f>
        <v>3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</row>
    <row r="86" spans="1:55" ht="16" x14ac:dyDescent="0.2">
      <c r="A86" s="7" t="s">
        <v>5</v>
      </c>
      <c r="B86" s="7" t="s">
        <v>6</v>
      </c>
      <c r="C86" s="8">
        <v>9</v>
      </c>
      <c r="D86" s="8">
        <v>10</v>
      </c>
      <c r="E86" s="8">
        <v>12</v>
      </c>
      <c r="F86" s="8">
        <v>7</v>
      </c>
      <c r="G86" s="3">
        <v>-21</v>
      </c>
      <c r="H86">
        <v>1</v>
      </c>
      <c r="I86">
        <v>1</v>
      </c>
      <c r="J86">
        <v>0.75</v>
      </c>
      <c r="K86">
        <v>1</v>
      </c>
      <c r="L86">
        <v>0.5</v>
      </c>
      <c r="M86">
        <v>1</v>
      </c>
      <c r="N86">
        <v>1</v>
      </c>
      <c r="O86">
        <v>0</v>
      </c>
      <c r="P86">
        <v>1</v>
      </c>
      <c r="Q86">
        <v>0.25</v>
      </c>
      <c r="R86">
        <v>1</v>
      </c>
      <c r="S86">
        <v>1</v>
      </c>
      <c r="T86">
        <f t="shared" si="10"/>
        <v>9</v>
      </c>
      <c r="U86">
        <f t="shared" si="11"/>
        <v>10</v>
      </c>
      <c r="V86">
        <f t="shared" si="12"/>
        <v>12</v>
      </c>
      <c r="W86">
        <f t="shared" si="13"/>
        <v>7</v>
      </c>
      <c r="X86">
        <f t="shared" si="14"/>
        <v>19</v>
      </c>
      <c r="Y86" t="str">
        <f>+VLOOKUP(A86,'[1]Tárgy kurzusai'!$A:$C,3,0)</f>
        <v>P:08:00-09:30(E.3.338)</v>
      </c>
      <c r="Z86">
        <f>+VLOOKUP(A86,'[1]Tárgy kurzusai'!$A:$F,6,0)</f>
        <v>3</v>
      </c>
      <c r="AA86" t="s">
        <v>66</v>
      </c>
      <c r="AB86" t="s">
        <v>50</v>
      </c>
      <c r="AC86" t="s">
        <v>74</v>
      </c>
      <c r="AD86" t="s">
        <v>60</v>
      </c>
      <c r="AE86" t="s">
        <v>69</v>
      </c>
      <c r="AF86" t="s">
        <v>69</v>
      </c>
      <c r="AG86" t="s">
        <v>55</v>
      </c>
      <c r="AH86" t="s">
        <v>55</v>
      </c>
      <c r="AI86" t="s">
        <v>55</v>
      </c>
      <c r="AJ86" t="s">
        <v>57</v>
      </c>
      <c r="AK86" t="s">
        <v>58</v>
      </c>
      <c r="AL86" t="s">
        <v>59</v>
      </c>
      <c r="AM86" t="s">
        <v>60</v>
      </c>
      <c r="AN86">
        <v>7</v>
      </c>
      <c r="AO86">
        <v>33</v>
      </c>
      <c r="AP86">
        <v>5</v>
      </c>
      <c r="AQ86">
        <v>11</v>
      </c>
      <c r="AR86" t="s">
        <v>55</v>
      </c>
      <c r="AS86" t="s">
        <v>61</v>
      </c>
      <c r="AT86" t="s">
        <v>56</v>
      </c>
      <c r="AU86" t="s">
        <v>62</v>
      </c>
      <c r="AV86" t="s">
        <v>63</v>
      </c>
      <c r="AW86" t="s">
        <v>60</v>
      </c>
      <c r="AX86" t="s">
        <v>60</v>
      </c>
      <c r="AY86">
        <v>4</v>
      </c>
      <c r="AZ86" t="s">
        <v>64</v>
      </c>
      <c r="BA86">
        <v>8</v>
      </c>
      <c r="BB86">
        <v>6</v>
      </c>
      <c r="BC86" t="s">
        <v>82</v>
      </c>
    </row>
    <row r="87" spans="1:55" ht="16" x14ac:dyDescent="0.2">
      <c r="A87" s="7" t="s">
        <v>5</v>
      </c>
      <c r="B87" s="7" t="s">
        <v>6</v>
      </c>
      <c r="C87" s="9">
        <v>0</v>
      </c>
      <c r="D87" s="8">
        <v>6</v>
      </c>
      <c r="E87" s="8">
        <v>12</v>
      </c>
      <c r="F87" s="8">
        <v>14</v>
      </c>
      <c r="G87" s="3">
        <v>-15</v>
      </c>
      <c r="H87">
        <v>0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0.67</v>
      </c>
      <c r="P87">
        <v>1</v>
      </c>
      <c r="Q87">
        <v>1</v>
      </c>
      <c r="R87">
        <v>1</v>
      </c>
      <c r="S87">
        <v>1</v>
      </c>
      <c r="T87">
        <f t="shared" si="10"/>
        <v>0</v>
      </c>
      <c r="U87">
        <f t="shared" si="11"/>
        <v>6</v>
      </c>
      <c r="V87">
        <f t="shared" si="12"/>
        <v>12</v>
      </c>
      <c r="W87">
        <f t="shared" si="13"/>
        <v>14</v>
      </c>
      <c r="X87">
        <f t="shared" si="14"/>
        <v>25</v>
      </c>
      <c r="Y87" t="str">
        <f>+VLOOKUP(A87,'[1]Tárgy kurzusai'!$A:$C,3,0)</f>
        <v>P:08:00-09:30(E.3.338)</v>
      </c>
      <c r="Z87">
        <f>+VLOOKUP(A87,'[1]Tárgy kurzusai'!$A:$F,6,0)</f>
        <v>3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</row>
    <row r="88" spans="1:55" ht="16" x14ac:dyDescent="0.2">
      <c r="A88" s="7" t="s">
        <v>5</v>
      </c>
      <c r="B88" s="7" t="s">
        <v>6</v>
      </c>
      <c r="C88" s="8">
        <v>15</v>
      </c>
      <c r="D88" s="8">
        <v>12.5</v>
      </c>
      <c r="E88" s="8">
        <v>16</v>
      </c>
      <c r="F88" s="8">
        <v>15.5</v>
      </c>
      <c r="G88" s="3">
        <v>-7.5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0.75</v>
      </c>
      <c r="O88">
        <v>1</v>
      </c>
      <c r="P88">
        <v>1</v>
      </c>
      <c r="Q88">
        <v>0</v>
      </c>
      <c r="R88">
        <v>0.5</v>
      </c>
      <c r="S88">
        <v>0</v>
      </c>
      <c r="T88">
        <f t="shared" si="10"/>
        <v>15</v>
      </c>
      <c r="U88">
        <f t="shared" si="11"/>
        <v>12.5</v>
      </c>
      <c r="V88">
        <f t="shared" si="12"/>
        <v>16</v>
      </c>
      <c r="W88">
        <f t="shared" si="13"/>
        <v>15.5</v>
      </c>
      <c r="X88">
        <f t="shared" si="14"/>
        <v>32.5</v>
      </c>
      <c r="Y88" t="str">
        <f>+VLOOKUP(A88,'[1]Tárgy kurzusai'!$A:$C,3,0)</f>
        <v>P:08:00-09:30(E.3.338)</v>
      </c>
      <c r="Z88">
        <f>+VLOOKUP(A88,'[1]Tárgy kurzusai'!$A:$F,6,0)</f>
        <v>3</v>
      </c>
      <c r="AA88" t="s">
        <v>49</v>
      </c>
      <c r="AB88" t="s">
        <v>67</v>
      </c>
      <c r="AC88" t="s">
        <v>107</v>
      </c>
      <c r="AD88" t="s">
        <v>60</v>
      </c>
      <c r="AE88" t="s">
        <v>69</v>
      </c>
      <c r="AF88" t="s">
        <v>69</v>
      </c>
      <c r="AG88" t="s">
        <v>55</v>
      </c>
      <c r="AH88" t="s">
        <v>55</v>
      </c>
      <c r="AI88" t="s">
        <v>55</v>
      </c>
      <c r="AJ88" t="s">
        <v>57</v>
      </c>
      <c r="AK88" t="s">
        <v>58</v>
      </c>
      <c r="AL88" t="s">
        <v>59</v>
      </c>
      <c r="AM88" t="s">
        <v>60</v>
      </c>
      <c r="AN88">
        <v>7</v>
      </c>
      <c r="AO88">
        <v>29</v>
      </c>
      <c r="AP88">
        <v>4</v>
      </c>
      <c r="AQ88">
        <v>11</v>
      </c>
      <c r="AR88" t="s">
        <v>55</v>
      </c>
      <c r="AS88" t="s">
        <v>55</v>
      </c>
      <c r="AT88" t="s">
        <v>55</v>
      </c>
      <c r="AU88" t="s">
        <v>62</v>
      </c>
      <c r="AV88" t="s">
        <v>97</v>
      </c>
      <c r="AW88" t="s">
        <v>98</v>
      </c>
      <c r="AX88" t="s">
        <v>60</v>
      </c>
      <c r="AY88">
        <v>4</v>
      </c>
      <c r="AZ88" t="s">
        <v>64</v>
      </c>
      <c r="BA88">
        <v>3</v>
      </c>
      <c r="BB88">
        <v>7</v>
      </c>
      <c r="BC88" t="s">
        <v>65</v>
      </c>
    </row>
    <row r="89" spans="1:55" ht="16" x14ac:dyDescent="0.2">
      <c r="A89" s="7" t="s">
        <v>5</v>
      </c>
      <c r="B89" s="7" t="s">
        <v>6</v>
      </c>
      <c r="C89" s="8">
        <v>15.5</v>
      </c>
      <c r="D89" s="8">
        <v>13.5</v>
      </c>
      <c r="E89" s="8">
        <v>16</v>
      </c>
      <c r="F89" s="8">
        <v>16</v>
      </c>
      <c r="G89" s="3">
        <v>-3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0.75</v>
      </c>
      <c r="R89">
        <v>1</v>
      </c>
      <c r="S89">
        <v>1</v>
      </c>
      <c r="T89">
        <f t="shared" si="10"/>
        <v>15.5</v>
      </c>
      <c r="U89">
        <f t="shared" si="11"/>
        <v>13.5</v>
      </c>
      <c r="V89">
        <f t="shared" si="12"/>
        <v>16</v>
      </c>
      <c r="W89">
        <f t="shared" si="13"/>
        <v>16</v>
      </c>
      <c r="X89">
        <f t="shared" si="14"/>
        <v>37</v>
      </c>
      <c r="Y89" t="str">
        <f>+VLOOKUP(A89,'[1]Tárgy kurzusai'!$A:$C,3,0)</f>
        <v>P:08:00-09:30(E.3.338)</v>
      </c>
      <c r="Z89">
        <f>+VLOOKUP(A89,'[1]Tárgy kurzusai'!$A:$F,6,0)</f>
        <v>3</v>
      </c>
      <c r="AA89" t="s">
        <v>66</v>
      </c>
      <c r="AB89" t="s">
        <v>80</v>
      </c>
      <c r="AC89" t="s">
        <v>72</v>
      </c>
      <c r="AD89" t="s">
        <v>93</v>
      </c>
      <c r="AE89" t="s">
        <v>69</v>
      </c>
      <c r="AF89" t="s">
        <v>69</v>
      </c>
      <c r="AG89" t="s">
        <v>55</v>
      </c>
      <c r="AH89" t="s">
        <v>55</v>
      </c>
      <c r="AI89" t="s">
        <v>55</v>
      </c>
      <c r="AJ89" t="s">
        <v>57</v>
      </c>
      <c r="AK89" t="s">
        <v>58</v>
      </c>
      <c r="AL89" t="s">
        <v>59</v>
      </c>
      <c r="AM89" t="s">
        <v>60</v>
      </c>
      <c r="AN89">
        <v>6</v>
      </c>
      <c r="AO89">
        <v>33</v>
      </c>
      <c r="AP89">
        <v>5</v>
      </c>
      <c r="AQ89">
        <v>13</v>
      </c>
      <c r="AR89" t="s">
        <v>55</v>
      </c>
      <c r="AS89" t="s">
        <v>55</v>
      </c>
      <c r="AT89" t="s">
        <v>56</v>
      </c>
      <c r="AU89" t="s">
        <v>62</v>
      </c>
      <c r="AV89" t="s">
        <v>63</v>
      </c>
      <c r="AW89" t="s">
        <v>60</v>
      </c>
      <c r="AX89" t="s">
        <v>60</v>
      </c>
      <c r="AY89">
        <v>4</v>
      </c>
      <c r="AZ89" t="s">
        <v>64</v>
      </c>
      <c r="BA89">
        <v>4</v>
      </c>
      <c r="BB89">
        <v>9</v>
      </c>
      <c r="BC89" t="s">
        <v>76</v>
      </c>
    </row>
    <row r="90" spans="1:55" ht="16" x14ac:dyDescent="0.2">
      <c r="A90" s="7" t="s">
        <v>5</v>
      </c>
      <c r="B90" s="7" t="s">
        <v>6</v>
      </c>
      <c r="C90" s="8">
        <v>7.5</v>
      </c>
      <c r="D90" s="8">
        <v>7</v>
      </c>
      <c r="E90" s="8">
        <v>9</v>
      </c>
      <c r="F90" s="8">
        <v>2.5</v>
      </c>
      <c r="G90" s="3">
        <v>-16.5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0.5</v>
      </c>
      <c r="S90">
        <v>1</v>
      </c>
      <c r="T90">
        <f t="shared" si="10"/>
        <v>7.5</v>
      </c>
      <c r="U90">
        <f t="shared" si="11"/>
        <v>7</v>
      </c>
      <c r="V90">
        <f t="shared" si="12"/>
        <v>9</v>
      </c>
      <c r="W90">
        <f t="shared" si="13"/>
        <v>2.5</v>
      </c>
      <c r="X90">
        <f t="shared" si="14"/>
        <v>23.5</v>
      </c>
      <c r="Y90" t="str">
        <f>+VLOOKUP(A90,'[1]Tárgy kurzusai'!$A:$C,3,0)</f>
        <v>P:08:00-09:30(E.3.338)</v>
      </c>
      <c r="Z90">
        <f>+VLOOKUP(A90,'[1]Tárgy kurzusai'!$A:$F,6,0)</f>
        <v>3</v>
      </c>
      <c r="AA90" t="s">
        <v>66</v>
      </c>
      <c r="AB90" t="s">
        <v>71</v>
      </c>
      <c r="AC90" t="s">
        <v>74</v>
      </c>
      <c r="AD90" t="s">
        <v>60</v>
      </c>
      <c r="AE90" t="s">
        <v>69</v>
      </c>
      <c r="AF90" t="s">
        <v>69</v>
      </c>
      <c r="AG90" t="s">
        <v>55</v>
      </c>
      <c r="AH90" t="s">
        <v>55</v>
      </c>
      <c r="AI90" t="s">
        <v>55</v>
      </c>
      <c r="AJ90" t="s">
        <v>57</v>
      </c>
      <c r="AK90" t="s">
        <v>79</v>
      </c>
      <c r="AL90" t="s">
        <v>59</v>
      </c>
      <c r="AM90" t="s">
        <v>60</v>
      </c>
      <c r="AN90">
        <v>7</v>
      </c>
      <c r="AO90">
        <v>33</v>
      </c>
      <c r="AP90">
        <v>5</v>
      </c>
      <c r="AQ90">
        <v>12</v>
      </c>
      <c r="AR90" t="s">
        <v>55</v>
      </c>
      <c r="AS90" t="s">
        <v>55</v>
      </c>
      <c r="AT90" t="s">
        <v>55</v>
      </c>
      <c r="AU90" t="s">
        <v>62</v>
      </c>
      <c r="AV90" t="s">
        <v>63</v>
      </c>
      <c r="AW90" t="s">
        <v>60</v>
      </c>
      <c r="AX90" t="s">
        <v>60</v>
      </c>
      <c r="AY90">
        <v>4</v>
      </c>
      <c r="AZ90" t="s">
        <v>64</v>
      </c>
      <c r="BA90">
        <v>8</v>
      </c>
      <c r="BB90">
        <v>5</v>
      </c>
      <c r="BC90" t="s">
        <v>76</v>
      </c>
    </row>
    <row r="91" spans="1:55" ht="16" x14ac:dyDescent="0.2">
      <c r="A91" s="7" t="s">
        <v>5</v>
      </c>
      <c r="B91" s="7" t="s">
        <v>6</v>
      </c>
      <c r="C91" s="8">
        <v>3</v>
      </c>
      <c r="D91" s="8">
        <v>4</v>
      </c>
      <c r="E91" s="9">
        <v>0</v>
      </c>
      <c r="F91" s="9">
        <v>0</v>
      </c>
      <c r="G91" s="3" t="e">
        <v>#N/A</v>
      </c>
      <c r="H91">
        <v>0</v>
      </c>
      <c r="I91">
        <v>0.5</v>
      </c>
      <c r="J91">
        <v>1</v>
      </c>
      <c r="K91">
        <v>1</v>
      </c>
      <c r="L91">
        <v>1</v>
      </c>
      <c r="M91">
        <v>1</v>
      </c>
      <c r="N91">
        <v>0.75</v>
      </c>
      <c r="O91">
        <v>0</v>
      </c>
      <c r="P91">
        <v>1</v>
      </c>
      <c r="Q91">
        <v>0.75</v>
      </c>
      <c r="R91">
        <v>0</v>
      </c>
      <c r="S91">
        <v>0</v>
      </c>
      <c r="T91">
        <f t="shared" si="10"/>
        <v>3</v>
      </c>
      <c r="U91">
        <f t="shared" si="11"/>
        <v>4</v>
      </c>
      <c r="V91">
        <f t="shared" si="12"/>
        <v>0</v>
      </c>
      <c r="W91">
        <f t="shared" si="13"/>
        <v>0</v>
      </c>
      <c r="X91" t="e">
        <f t="shared" si="14"/>
        <v>#N/A</v>
      </c>
      <c r="Y91" t="str">
        <f>+VLOOKUP(A91,'[1]Tárgy kurzusai'!$A:$C,3,0)</f>
        <v>P:08:00-09:30(E.3.338)</v>
      </c>
      <c r="Z91">
        <f>+VLOOKUP(A91,'[1]Tárgy kurzusai'!$A:$F,6,0)</f>
        <v>3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</row>
    <row r="92" spans="1:55" ht="16" x14ac:dyDescent="0.2">
      <c r="A92" s="7" t="s">
        <v>5</v>
      </c>
      <c r="B92" s="7" t="s">
        <v>6</v>
      </c>
      <c r="C92" s="8">
        <v>12</v>
      </c>
      <c r="D92" s="8">
        <v>6</v>
      </c>
      <c r="E92" s="8">
        <v>1</v>
      </c>
      <c r="F92" s="8">
        <v>15</v>
      </c>
      <c r="G92" s="3">
        <v>-17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1</v>
      </c>
      <c r="O92">
        <v>1</v>
      </c>
      <c r="P92">
        <v>1</v>
      </c>
      <c r="Q92">
        <v>0.75</v>
      </c>
      <c r="R92">
        <v>1</v>
      </c>
      <c r="S92">
        <v>1</v>
      </c>
      <c r="T92">
        <f t="shared" si="10"/>
        <v>12</v>
      </c>
      <c r="U92">
        <f t="shared" si="11"/>
        <v>6</v>
      </c>
      <c r="V92">
        <f t="shared" si="12"/>
        <v>1</v>
      </c>
      <c r="W92">
        <f t="shared" si="13"/>
        <v>15</v>
      </c>
      <c r="X92">
        <f t="shared" si="14"/>
        <v>23</v>
      </c>
      <c r="Y92" t="str">
        <f>+VLOOKUP(A92,'[1]Tárgy kurzusai'!$A:$C,3,0)</f>
        <v>P:08:00-09:30(E.3.338)</v>
      </c>
      <c r="Z92">
        <f>+VLOOKUP(A92,'[1]Tárgy kurzusai'!$A:$F,6,0)</f>
        <v>3</v>
      </c>
      <c r="AA92" t="s">
        <v>66</v>
      </c>
      <c r="AB92" t="s">
        <v>67</v>
      </c>
      <c r="AC92" t="s">
        <v>74</v>
      </c>
      <c r="AD92" t="s">
        <v>60</v>
      </c>
      <c r="AE92" t="s">
        <v>53</v>
      </c>
      <c r="AF92" t="s">
        <v>60</v>
      </c>
      <c r="AG92" t="s">
        <v>55</v>
      </c>
      <c r="AH92" t="s">
        <v>55</v>
      </c>
      <c r="AI92" t="s">
        <v>55</v>
      </c>
      <c r="AJ92" t="s">
        <v>60</v>
      </c>
      <c r="AK92" t="s">
        <v>58</v>
      </c>
      <c r="AL92" t="s">
        <v>59</v>
      </c>
      <c r="AM92" t="s">
        <v>60</v>
      </c>
      <c r="AN92">
        <v>8</v>
      </c>
      <c r="AO92">
        <v>37</v>
      </c>
      <c r="AP92">
        <v>5</v>
      </c>
      <c r="AQ92">
        <v>12</v>
      </c>
      <c r="AR92" t="s">
        <v>55</v>
      </c>
      <c r="AS92" t="s">
        <v>55</v>
      </c>
      <c r="AT92" t="s">
        <v>55</v>
      </c>
      <c r="AU92" t="s">
        <v>62</v>
      </c>
      <c r="AV92" t="s">
        <v>63</v>
      </c>
      <c r="AW92" t="s">
        <v>60</v>
      </c>
      <c r="AX92" t="s">
        <v>60</v>
      </c>
      <c r="AY92">
        <v>2</v>
      </c>
      <c r="AZ92" t="s">
        <v>64</v>
      </c>
      <c r="BA92">
        <v>6</v>
      </c>
      <c r="BB92">
        <v>3</v>
      </c>
      <c r="BC92" t="s">
        <v>70</v>
      </c>
    </row>
    <row r="93" spans="1:55" ht="16" x14ac:dyDescent="0.2">
      <c r="A93" s="7" t="s">
        <v>5</v>
      </c>
      <c r="B93" s="7" t="s">
        <v>6</v>
      </c>
      <c r="C93" s="8">
        <v>10.5</v>
      </c>
      <c r="D93" s="8">
        <v>9</v>
      </c>
      <c r="E93" s="8">
        <v>14</v>
      </c>
      <c r="F93" s="8">
        <v>7</v>
      </c>
      <c r="G93" s="3">
        <v>-12</v>
      </c>
      <c r="H93">
        <v>1</v>
      </c>
      <c r="I93">
        <v>0.75</v>
      </c>
      <c r="J93">
        <v>1</v>
      </c>
      <c r="K93">
        <v>1</v>
      </c>
      <c r="L93">
        <v>1</v>
      </c>
      <c r="M93">
        <v>1</v>
      </c>
      <c r="N93">
        <v>0.25</v>
      </c>
      <c r="O93">
        <v>1</v>
      </c>
      <c r="P93">
        <v>1</v>
      </c>
      <c r="Q93">
        <v>0.5</v>
      </c>
      <c r="R93">
        <v>0.75</v>
      </c>
      <c r="S93">
        <v>1</v>
      </c>
      <c r="T93">
        <f t="shared" si="10"/>
        <v>10.5</v>
      </c>
      <c r="U93">
        <f t="shared" si="11"/>
        <v>9</v>
      </c>
      <c r="V93">
        <f t="shared" si="12"/>
        <v>14</v>
      </c>
      <c r="W93">
        <f t="shared" si="13"/>
        <v>7</v>
      </c>
      <c r="X93">
        <f t="shared" si="14"/>
        <v>28</v>
      </c>
      <c r="Y93" t="str">
        <f>+VLOOKUP(A93,'[1]Tárgy kurzusai'!$A:$C,3,0)</f>
        <v>P:08:00-09:30(E.3.338)</v>
      </c>
      <c r="Z93">
        <f>+VLOOKUP(A93,'[1]Tárgy kurzusai'!$A:$F,6,0)</f>
        <v>3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</row>
    <row r="94" spans="1:55" ht="16" x14ac:dyDescent="0.2">
      <c r="A94" s="7" t="s">
        <v>5</v>
      </c>
      <c r="B94" s="7" t="s">
        <v>6</v>
      </c>
      <c r="C94" s="9">
        <v>0</v>
      </c>
      <c r="D94" s="9">
        <v>0</v>
      </c>
      <c r="E94" s="9">
        <v>0</v>
      </c>
      <c r="F94" s="9">
        <v>0</v>
      </c>
      <c r="G94" s="3" t="e">
        <v>#N/A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f t="shared" si="10"/>
        <v>0</v>
      </c>
      <c r="U94">
        <f t="shared" si="11"/>
        <v>0</v>
      </c>
      <c r="V94">
        <f t="shared" si="12"/>
        <v>0</v>
      </c>
      <c r="W94">
        <f t="shared" si="13"/>
        <v>0</v>
      </c>
      <c r="X94" t="e">
        <f t="shared" si="14"/>
        <v>#N/A</v>
      </c>
      <c r="Y94" t="str">
        <f>+VLOOKUP(A94,'[1]Tárgy kurzusai'!$A:$C,3,0)</f>
        <v>P:08:00-09:30(E.3.338)</v>
      </c>
      <c r="Z94">
        <f>+VLOOKUP(A94,'[1]Tárgy kurzusai'!$A:$F,6,0)</f>
        <v>3</v>
      </c>
      <c r="AA94" t="s">
        <v>66</v>
      </c>
      <c r="AB94" t="s">
        <v>50</v>
      </c>
      <c r="AC94" t="s">
        <v>75</v>
      </c>
      <c r="AD94" t="s">
        <v>92</v>
      </c>
      <c r="AE94" t="s">
        <v>69</v>
      </c>
      <c r="AF94" t="s">
        <v>54</v>
      </c>
      <c r="AG94" t="s">
        <v>56</v>
      </c>
      <c r="AH94" t="s">
        <v>55</v>
      </c>
      <c r="AI94" t="s">
        <v>55</v>
      </c>
      <c r="AJ94" t="s">
        <v>57</v>
      </c>
      <c r="AK94" t="s">
        <v>58</v>
      </c>
      <c r="AL94" t="s">
        <v>59</v>
      </c>
      <c r="AM94" t="s">
        <v>60</v>
      </c>
      <c r="AN94">
        <v>6</v>
      </c>
      <c r="AO94">
        <v>27</v>
      </c>
      <c r="AP94">
        <v>4</v>
      </c>
      <c r="AQ94">
        <v>4</v>
      </c>
      <c r="AR94" t="s">
        <v>55</v>
      </c>
      <c r="AS94" t="s">
        <v>61</v>
      </c>
      <c r="AT94" t="s">
        <v>55</v>
      </c>
      <c r="AU94" t="s">
        <v>62</v>
      </c>
      <c r="AV94" t="s">
        <v>63</v>
      </c>
      <c r="AW94" t="s">
        <v>60</v>
      </c>
      <c r="AX94" t="s">
        <v>60</v>
      </c>
      <c r="AY94">
        <v>3</v>
      </c>
      <c r="AZ94" t="s">
        <v>64</v>
      </c>
      <c r="BA94">
        <v>8</v>
      </c>
      <c r="BB94">
        <v>6</v>
      </c>
      <c r="BC94" t="s">
        <v>70</v>
      </c>
    </row>
    <row r="95" spans="1:55" ht="16" x14ac:dyDescent="0.2">
      <c r="A95" s="4" t="s">
        <v>7</v>
      </c>
      <c r="B95" s="4" t="s">
        <v>8</v>
      </c>
      <c r="C95" s="10">
        <v>10.5</v>
      </c>
      <c r="D95" s="11">
        <v>11.5</v>
      </c>
      <c r="E95" s="11">
        <v>7.5</v>
      </c>
      <c r="F95" s="11">
        <v>7</v>
      </c>
      <c r="G95" s="3">
        <v>25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f>+C95</f>
        <v>10.5</v>
      </c>
      <c r="U95">
        <f t="shared" ref="U95:X95" si="15">+D95</f>
        <v>11.5</v>
      </c>
      <c r="V95">
        <f t="shared" si="15"/>
        <v>7.5</v>
      </c>
      <c r="W95">
        <f t="shared" si="15"/>
        <v>7</v>
      </c>
      <c r="X95">
        <f t="shared" si="15"/>
        <v>25</v>
      </c>
      <c r="Y95" t="str">
        <f>+VLOOKUP(A95,'[1]Tárgy kurzusai'!$A:$C,3,0)</f>
        <v>P:09:50-11:20(E.3.338)</v>
      </c>
      <c r="Z95">
        <f>+VLOOKUP(A95,'[1]Tárgy kurzusai'!$A:$F,6,0)</f>
        <v>3</v>
      </c>
      <c r="AA95" t="s">
        <v>49</v>
      </c>
      <c r="AB95" t="s">
        <v>71</v>
      </c>
      <c r="AC95" t="s">
        <v>51</v>
      </c>
      <c r="AD95" t="s">
        <v>93</v>
      </c>
      <c r="AE95" t="s">
        <v>69</v>
      </c>
      <c r="AF95" t="s">
        <v>53</v>
      </c>
      <c r="AG95" t="s">
        <v>55</v>
      </c>
      <c r="AH95" t="s">
        <v>55</v>
      </c>
      <c r="AI95" t="s">
        <v>55</v>
      </c>
      <c r="AJ95" t="s">
        <v>57</v>
      </c>
      <c r="AK95" t="s">
        <v>58</v>
      </c>
      <c r="AL95" t="s">
        <v>59</v>
      </c>
      <c r="AM95" t="s">
        <v>60</v>
      </c>
      <c r="AN95">
        <v>6</v>
      </c>
      <c r="AO95">
        <v>30</v>
      </c>
      <c r="AP95">
        <v>5</v>
      </c>
      <c r="AQ95">
        <v>12</v>
      </c>
      <c r="AR95" t="s">
        <v>55</v>
      </c>
      <c r="AS95" t="s">
        <v>55</v>
      </c>
      <c r="AT95" t="s">
        <v>55</v>
      </c>
      <c r="AU95" t="s">
        <v>62</v>
      </c>
      <c r="AV95" t="s">
        <v>63</v>
      </c>
      <c r="AW95" t="s">
        <v>60</v>
      </c>
      <c r="AX95" t="s">
        <v>60</v>
      </c>
      <c r="AY95">
        <v>2</v>
      </c>
      <c r="AZ95" t="s">
        <v>78</v>
      </c>
      <c r="BA95">
        <v>10</v>
      </c>
      <c r="BB95">
        <v>0</v>
      </c>
      <c r="BC95" t="s">
        <v>76</v>
      </c>
    </row>
    <row r="96" spans="1:55" ht="16" x14ac:dyDescent="0.2">
      <c r="A96" s="4" t="s">
        <v>7</v>
      </c>
      <c r="B96" s="4" t="s">
        <v>8</v>
      </c>
      <c r="C96" s="10">
        <v>15</v>
      </c>
      <c r="D96" s="11">
        <v>15</v>
      </c>
      <c r="E96" s="11">
        <v>15.5</v>
      </c>
      <c r="F96" s="11">
        <v>14</v>
      </c>
      <c r="G96" s="3">
        <v>37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0.83</v>
      </c>
      <c r="P96">
        <v>1</v>
      </c>
      <c r="Q96">
        <v>1</v>
      </c>
      <c r="R96">
        <v>1</v>
      </c>
      <c r="S96">
        <v>1</v>
      </c>
      <c r="T96">
        <f t="shared" ref="T96:T155" si="16">+C96</f>
        <v>15</v>
      </c>
      <c r="U96">
        <f t="shared" ref="U96:U155" si="17">+D96</f>
        <v>15</v>
      </c>
      <c r="V96">
        <f t="shared" ref="V96:V155" si="18">+E96</f>
        <v>15.5</v>
      </c>
      <c r="W96">
        <f t="shared" ref="W96:W155" si="19">+F96</f>
        <v>14</v>
      </c>
      <c r="X96">
        <f t="shared" ref="X96:X155" si="20">+G96</f>
        <v>37</v>
      </c>
      <c r="Y96" t="str">
        <f>+VLOOKUP(A96,'[1]Tárgy kurzusai'!$A:$C,3,0)</f>
        <v>P:09:50-11:20(E.3.338)</v>
      </c>
      <c r="Z96">
        <f>+VLOOKUP(A96,'[1]Tárgy kurzusai'!$A:$F,6,0)</f>
        <v>3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</row>
    <row r="97" spans="1:55" ht="16" x14ac:dyDescent="0.2">
      <c r="A97" s="4" t="s">
        <v>7</v>
      </c>
      <c r="B97" s="4" t="s">
        <v>8</v>
      </c>
      <c r="C97" s="10">
        <v>9.5</v>
      </c>
      <c r="D97" s="11">
        <v>12</v>
      </c>
      <c r="E97" s="11">
        <v>14</v>
      </c>
      <c r="F97" s="11">
        <v>14</v>
      </c>
      <c r="G97" s="3">
        <v>35.5</v>
      </c>
      <c r="H97">
        <v>1</v>
      </c>
      <c r="I97">
        <v>1</v>
      </c>
      <c r="J97">
        <v>1</v>
      </c>
      <c r="K97">
        <v>1</v>
      </c>
      <c r="L97">
        <v>0</v>
      </c>
      <c r="M97">
        <v>0.75</v>
      </c>
      <c r="N97">
        <v>0</v>
      </c>
      <c r="O97">
        <v>1</v>
      </c>
      <c r="P97">
        <v>1</v>
      </c>
      <c r="Q97">
        <v>0.5</v>
      </c>
      <c r="R97">
        <v>1</v>
      </c>
      <c r="S97">
        <v>1</v>
      </c>
      <c r="T97">
        <f t="shared" si="16"/>
        <v>9.5</v>
      </c>
      <c r="U97">
        <f t="shared" si="17"/>
        <v>12</v>
      </c>
      <c r="V97">
        <f t="shared" si="18"/>
        <v>14</v>
      </c>
      <c r="W97">
        <f t="shared" si="19"/>
        <v>14</v>
      </c>
      <c r="X97">
        <f t="shared" si="20"/>
        <v>35.5</v>
      </c>
      <c r="Y97" t="str">
        <f>+VLOOKUP(A97,'[1]Tárgy kurzusai'!$A:$C,3,0)</f>
        <v>P:09:50-11:20(E.3.338)</v>
      </c>
      <c r="Z97">
        <f>+VLOOKUP(A97,'[1]Tárgy kurzusai'!$A:$F,6,0)</f>
        <v>3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</row>
    <row r="98" spans="1:55" ht="16" x14ac:dyDescent="0.2">
      <c r="A98" s="4" t="s">
        <v>7</v>
      </c>
      <c r="B98" s="4" t="s">
        <v>8</v>
      </c>
      <c r="C98" s="12">
        <v>0</v>
      </c>
      <c r="D98" s="9">
        <v>0</v>
      </c>
      <c r="E98" s="11">
        <v>5</v>
      </c>
      <c r="F98" s="9">
        <v>0</v>
      </c>
      <c r="G98" s="3" t="e">
        <v>#N/A</v>
      </c>
      <c r="H98">
        <v>0.5</v>
      </c>
      <c r="I98">
        <v>0.75</v>
      </c>
      <c r="J98">
        <v>0</v>
      </c>
      <c r="K98">
        <v>1</v>
      </c>
      <c r="L98">
        <v>1</v>
      </c>
      <c r="M98">
        <v>0.25</v>
      </c>
      <c r="N98">
        <v>0</v>
      </c>
      <c r="O98">
        <v>1</v>
      </c>
      <c r="P98">
        <v>1</v>
      </c>
      <c r="Q98">
        <v>0.25</v>
      </c>
      <c r="R98">
        <v>1</v>
      </c>
      <c r="S98">
        <v>0</v>
      </c>
      <c r="T98">
        <f t="shared" si="16"/>
        <v>0</v>
      </c>
      <c r="U98">
        <f t="shared" si="17"/>
        <v>0</v>
      </c>
      <c r="V98">
        <f t="shared" si="18"/>
        <v>5</v>
      </c>
      <c r="W98">
        <f t="shared" si="19"/>
        <v>0</v>
      </c>
      <c r="X98" t="e">
        <f t="shared" si="20"/>
        <v>#N/A</v>
      </c>
      <c r="Y98" t="str">
        <f>+VLOOKUP(A98,'[1]Tárgy kurzusai'!$A:$C,3,0)</f>
        <v>P:09:50-11:20(E.3.338)</v>
      </c>
      <c r="Z98">
        <f>+VLOOKUP(A98,'[1]Tárgy kurzusai'!$A:$F,6,0)</f>
        <v>3</v>
      </c>
      <c r="AA98" t="s">
        <v>66</v>
      </c>
      <c r="AB98" t="s">
        <v>50</v>
      </c>
      <c r="AC98" t="s">
        <v>74</v>
      </c>
      <c r="AD98" t="s">
        <v>60</v>
      </c>
      <c r="AE98" t="s">
        <v>69</v>
      </c>
      <c r="AF98" t="s">
        <v>69</v>
      </c>
      <c r="AG98" t="s">
        <v>55</v>
      </c>
      <c r="AH98" t="s">
        <v>55</v>
      </c>
      <c r="AI98" t="s">
        <v>55</v>
      </c>
      <c r="AJ98" t="s">
        <v>57</v>
      </c>
      <c r="AK98" t="s">
        <v>79</v>
      </c>
      <c r="AL98" t="s">
        <v>96</v>
      </c>
      <c r="AM98">
        <v>0</v>
      </c>
      <c r="AN98">
        <v>8</v>
      </c>
      <c r="AO98">
        <v>42</v>
      </c>
      <c r="AP98">
        <v>6</v>
      </c>
      <c r="AQ98">
        <v>12</v>
      </c>
      <c r="AR98" t="s">
        <v>55</v>
      </c>
      <c r="AS98" t="s">
        <v>61</v>
      </c>
      <c r="AT98" t="s">
        <v>56</v>
      </c>
      <c r="AU98" t="s">
        <v>62</v>
      </c>
      <c r="AV98" t="s">
        <v>97</v>
      </c>
      <c r="AW98" t="s">
        <v>98</v>
      </c>
      <c r="AX98" t="s">
        <v>60</v>
      </c>
      <c r="AY98">
        <v>3</v>
      </c>
      <c r="AZ98" t="s">
        <v>64</v>
      </c>
      <c r="BA98">
        <v>6</v>
      </c>
      <c r="BB98">
        <v>7</v>
      </c>
      <c r="BC98" t="s">
        <v>70</v>
      </c>
    </row>
    <row r="99" spans="1:55" ht="16" x14ac:dyDescent="0.2">
      <c r="A99" s="4" t="s">
        <v>7</v>
      </c>
      <c r="B99" s="4" t="s">
        <v>8</v>
      </c>
      <c r="C99" s="10">
        <v>9</v>
      </c>
      <c r="D99" s="11">
        <v>4.5</v>
      </c>
      <c r="E99" s="11">
        <v>13</v>
      </c>
      <c r="F99" s="11">
        <v>10</v>
      </c>
      <c r="G99" s="3">
        <v>23</v>
      </c>
      <c r="H99">
        <v>1</v>
      </c>
      <c r="I99">
        <v>0.75</v>
      </c>
      <c r="J99">
        <v>0.25</v>
      </c>
      <c r="K99">
        <v>1</v>
      </c>
      <c r="L99">
        <v>1</v>
      </c>
      <c r="M99">
        <v>0.75</v>
      </c>
      <c r="N99">
        <v>0</v>
      </c>
      <c r="O99">
        <v>1</v>
      </c>
      <c r="P99">
        <v>0.75</v>
      </c>
      <c r="Q99">
        <v>0.75</v>
      </c>
      <c r="R99">
        <v>1</v>
      </c>
      <c r="S99">
        <v>1</v>
      </c>
      <c r="T99">
        <f t="shared" si="16"/>
        <v>9</v>
      </c>
      <c r="U99">
        <f t="shared" si="17"/>
        <v>4.5</v>
      </c>
      <c r="V99">
        <f t="shared" si="18"/>
        <v>13</v>
      </c>
      <c r="W99">
        <f t="shared" si="19"/>
        <v>10</v>
      </c>
      <c r="X99">
        <f t="shared" si="20"/>
        <v>23</v>
      </c>
      <c r="Y99" t="str">
        <f>+VLOOKUP(A99,'[1]Tárgy kurzusai'!$A:$C,3,0)</f>
        <v>P:09:50-11:20(E.3.338)</v>
      </c>
      <c r="Z99">
        <f>+VLOOKUP(A99,'[1]Tárgy kurzusai'!$A:$F,6,0)</f>
        <v>3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</row>
    <row r="100" spans="1:55" ht="16" x14ac:dyDescent="0.2">
      <c r="A100" s="4" t="s">
        <v>7</v>
      </c>
      <c r="B100" s="4" t="s">
        <v>8</v>
      </c>
      <c r="C100" s="10">
        <v>6</v>
      </c>
      <c r="D100" s="11">
        <v>15</v>
      </c>
      <c r="E100" s="11">
        <v>11</v>
      </c>
      <c r="F100" s="11">
        <v>11</v>
      </c>
      <c r="G100" s="3">
        <v>19</v>
      </c>
      <c r="H100">
        <v>0.75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0.75</v>
      </c>
      <c r="R100">
        <v>1</v>
      </c>
      <c r="S100">
        <v>1</v>
      </c>
      <c r="T100">
        <f t="shared" si="16"/>
        <v>6</v>
      </c>
      <c r="U100">
        <f t="shared" si="17"/>
        <v>15</v>
      </c>
      <c r="V100">
        <f t="shared" si="18"/>
        <v>11</v>
      </c>
      <c r="W100">
        <f t="shared" si="19"/>
        <v>11</v>
      </c>
      <c r="X100">
        <f t="shared" si="20"/>
        <v>19</v>
      </c>
      <c r="Y100" t="str">
        <f>+VLOOKUP(A100,'[1]Tárgy kurzusai'!$A:$C,3,0)</f>
        <v>P:09:50-11:20(E.3.338)</v>
      </c>
      <c r="Z100">
        <f>+VLOOKUP(A100,'[1]Tárgy kurzusai'!$A:$F,6,0)</f>
        <v>3</v>
      </c>
      <c r="AA100" t="s">
        <v>49</v>
      </c>
      <c r="AB100" t="s">
        <v>50</v>
      </c>
      <c r="AC100" t="s">
        <v>51</v>
      </c>
      <c r="AD100" t="s">
        <v>85</v>
      </c>
      <c r="AE100" t="s">
        <v>53</v>
      </c>
      <c r="AF100" t="s">
        <v>54</v>
      </c>
      <c r="AG100" t="s">
        <v>56</v>
      </c>
      <c r="AH100" t="s">
        <v>55</v>
      </c>
      <c r="AI100" t="s">
        <v>55</v>
      </c>
      <c r="AJ100" t="s">
        <v>57</v>
      </c>
      <c r="AK100" t="s">
        <v>79</v>
      </c>
      <c r="AL100" t="s">
        <v>59</v>
      </c>
      <c r="AM100" t="s">
        <v>60</v>
      </c>
      <c r="AN100">
        <v>6</v>
      </c>
      <c r="AO100">
        <v>30</v>
      </c>
      <c r="AP100">
        <v>5</v>
      </c>
      <c r="AQ100">
        <v>2</v>
      </c>
      <c r="AR100" t="s">
        <v>55</v>
      </c>
      <c r="AS100" t="s">
        <v>55</v>
      </c>
      <c r="AT100" t="s">
        <v>56</v>
      </c>
      <c r="AU100" t="s">
        <v>62</v>
      </c>
      <c r="AV100" t="s">
        <v>63</v>
      </c>
      <c r="AW100" t="s">
        <v>60</v>
      </c>
      <c r="AX100" t="s">
        <v>60</v>
      </c>
      <c r="AY100">
        <v>3</v>
      </c>
      <c r="AZ100" t="s">
        <v>64</v>
      </c>
      <c r="BA100">
        <v>6</v>
      </c>
      <c r="BB100">
        <v>7</v>
      </c>
      <c r="BC100" t="s">
        <v>65</v>
      </c>
    </row>
    <row r="101" spans="1:55" ht="16" x14ac:dyDescent="0.2">
      <c r="A101" s="4" t="s">
        <v>7</v>
      </c>
      <c r="B101" s="4" t="s">
        <v>8</v>
      </c>
      <c r="C101" s="10">
        <v>5</v>
      </c>
      <c r="D101" s="11">
        <v>3</v>
      </c>
      <c r="E101" s="11">
        <v>9</v>
      </c>
      <c r="F101" s="11">
        <v>3</v>
      </c>
      <c r="G101" s="3">
        <v>27.5</v>
      </c>
      <c r="H101">
        <v>1</v>
      </c>
      <c r="I101">
        <v>0.75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0.83</v>
      </c>
      <c r="P101">
        <v>1</v>
      </c>
      <c r="Q101">
        <v>0.75</v>
      </c>
      <c r="R101">
        <v>0.75</v>
      </c>
      <c r="S101">
        <v>1</v>
      </c>
      <c r="T101">
        <f t="shared" si="16"/>
        <v>5</v>
      </c>
      <c r="U101">
        <f t="shared" si="17"/>
        <v>3</v>
      </c>
      <c r="V101">
        <f t="shared" si="18"/>
        <v>9</v>
      </c>
      <c r="W101">
        <f t="shared" si="19"/>
        <v>3</v>
      </c>
      <c r="X101">
        <f t="shared" si="20"/>
        <v>27.5</v>
      </c>
      <c r="Y101" t="str">
        <f>+VLOOKUP(A101,'[1]Tárgy kurzusai'!$A:$C,3,0)</f>
        <v>P:09:50-11:20(E.3.338)</v>
      </c>
      <c r="Z101">
        <f>+VLOOKUP(A101,'[1]Tárgy kurzusai'!$A:$F,6,0)</f>
        <v>3</v>
      </c>
      <c r="AA101" t="s">
        <v>66</v>
      </c>
      <c r="AB101" t="s">
        <v>71</v>
      </c>
      <c r="AC101" t="s">
        <v>51</v>
      </c>
      <c r="AD101" t="s">
        <v>89</v>
      </c>
      <c r="AE101" t="s">
        <v>69</v>
      </c>
      <c r="AF101" t="s">
        <v>69</v>
      </c>
      <c r="AG101" t="s">
        <v>55</v>
      </c>
      <c r="AH101" t="s">
        <v>55</v>
      </c>
      <c r="AI101" t="s">
        <v>55</v>
      </c>
      <c r="AJ101" t="s">
        <v>57</v>
      </c>
      <c r="AK101" t="s">
        <v>79</v>
      </c>
      <c r="AL101" t="s">
        <v>59</v>
      </c>
      <c r="AM101" t="s">
        <v>60</v>
      </c>
      <c r="AN101">
        <v>6</v>
      </c>
      <c r="AO101">
        <v>33</v>
      </c>
      <c r="AP101">
        <v>5</v>
      </c>
      <c r="AQ101">
        <v>11</v>
      </c>
      <c r="AR101" t="s">
        <v>55</v>
      </c>
      <c r="AS101" t="s">
        <v>61</v>
      </c>
      <c r="AT101" t="s">
        <v>56</v>
      </c>
      <c r="AU101" t="s">
        <v>62</v>
      </c>
      <c r="AV101" t="s">
        <v>63</v>
      </c>
      <c r="AW101" t="s">
        <v>60</v>
      </c>
      <c r="AX101" t="s">
        <v>60</v>
      </c>
      <c r="AY101">
        <v>4</v>
      </c>
      <c r="AZ101" t="s">
        <v>64</v>
      </c>
      <c r="BA101">
        <v>9</v>
      </c>
      <c r="BB101">
        <v>2</v>
      </c>
      <c r="BC101" t="s">
        <v>82</v>
      </c>
    </row>
    <row r="102" spans="1:55" ht="16" x14ac:dyDescent="0.2">
      <c r="A102" s="4" t="s">
        <v>7</v>
      </c>
      <c r="B102" s="4" t="s">
        <v>8</v>
      </c>
      <c r="C102" s="10">
        <v>16</v>
      </c>
      <c r="D102" s="11">
        <v>16</v>
      </c>
      <c r="E102" s="11">
        <v>14</v>
      </c>
      <c r="F102" s="11">
        <v>15</v>
      </c>
      <c r="G102" s="3">
        <v>34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f t="shared" si="16"/>
        <v>16</v>
      </c>
      <c r="U102">
        <f t="shared" si="17"/>
        <v>16</v>
      </c>
      <c r="V102">
        <f t="shared" si="18"/>
        <v>14</v>
      </c>
      <c r="W102">
        <f t="shared" si="19"/>
        <v>15</v>
      </c>
      <c r="X102">
        <f t="shared" si="20"/>
        <v>34</v>
      </c>
      <c r="Y102" t="str">
        <f>+VLOOKUP(A102,'[1]Tárgy kurzusai'!$A:$C,3,0)</f>
        <v>P:09:50-11:20(E.3.338)</v>
      </c>
      <c r="Z102">
        <f>+VLOOKUP(A102,'[1]Tárgy kurzusai'!$A:$F,6,0)</f>
        <v>3</v>
      </c>
      <c r="AA102" t="s">
        <v>66</v>
      </c>
      <c r="AB102" t="s">
        <v>50</v>
      </c>
      <c r="AC102" t="s">
        <v>72</v>
      </c>
      <c r="AD102" t="s">
        <v>86</v>
      </c>
      <c r="AE102" t="s">
        <v>69</v>
      </c>
      <c r="AF102" t="s">
        <v>69</v>
      </c>
      <c r="AG102" t="s">
        <v>55</v>
      </c>
      <c r="AH102" t="s">
        <v>55</v>
      </c>
      <c r="AI102" t="s">
        <v>55</v>
      </c>
      <c r="AJ102" t="s">
        <v>57</v>
      </c>
      <c r="AK102" t="s">
        <v>58</v>
      </c>
      <c r="AL102" t="s">
        <v>59</v>
      </c>
      <c r="AM102" t="s">
        <v>60</v>
      </c>
      <c r="AN102">
        <v>6</v>
      </c>
      <c r="AO102">
        <v>30</v>
      </c>
      <c r="AP102">
        <v>5</v>
      </c>
      <c r="AQ102">
        <v>12</v>
      </c>
      <c r="AR102" t="s">
        <v>55</v>
      </c>
      <c r="AS102" t="s">
        <v>55</v>
      </c>
      <c r="AT102" t="s">
        <v>56</v>
      </c>
      <c r="AU102" t="s">
        <v>62</v>
      </c>
      <c r="AV102" t="s">
        <v>63</v>
      </c>
      <c r="AW102" t="s">
        <v>60</v>
      </c>
      <c r="AX102" t="s">
        <v>60</v>
      </c>
      <c r="AY102">
        <v>5</v>
      </c>
      <c r="AZ102" t="s">
        <v>64</v>
      </c>
      <c r="BA102">
        <v>8</v>
      </c>
      <c r="BB102">
        <v>7</v>
      </c>
      <c r="BC102" t="s">
        <v>65</v>
      </c>
    </row>
    <row r="103" spans="1:55" ht="16" x14ac:dyDescent="0.2">
      <c r="A103" s="4" t="s">
        <v>7</v>
      </c>
      <c r="B103" s="4" t="s">
        <v>8</v>
      </c>
      <c r="C103" s="10">
        <v>10</v>
      </c>
      <c r="D103" s="11">
        <v>10.5</v>
      </c>
      <c r="E103" s="11">
        <v>4</v>
      </c>
      <c r="F103" s="11">
        <v>11.5</v>
      </c>
      <c r="G103" s="3">
        <v>22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1</v>
      </c>
      <c r="T103">
        <f t="shared" si="16"/>
        <v>10</v>
      </c>
      <c r="U103">
        <f t="shared" si="17"/>
        <v>10.5</v>
      </c>
      <c r="V103">
        <f t="shared" si="18"/>
        <v>4</v>
      </c>
      <c r="W103">
        <f t="shared" si="19"/>
        <v>11.5</v>
      </c>
      <c r="X103">
        <f t="shared" si="20"/>
        <v>22</v>
      </c>
      <c r="Y103" t="str">
        <f>+VLOOKUP(A103,'[1]Tárgy kurzusai'!$A:$C,3,0)</f>
        <v>P:09:50-11:20(E.3.338)</v>
      </c>
      <c r="Z103">
        <f>+VLOOKUP(A103,'[1]Tárgy kurzusai'!$A:$F,6,0)</f>
        <v>3</v>
      </c>
      <c r="AA103" t="s">
        <v>66</v>
      </c>
      <c r="AB103" t="s">
        <v>80</v>
      </c>
      <c r="AC103" t="s">
        <v>107</v>
      </c>
      <c r="AD103" t="s">
        <v>88</v>
      </c>
      <c r="AE103" t="s">
        <v>69</v>
      </c>
      <c r="AF103" t="s">
        <v>53</v>
      </c>
      <c r="AG103" t="s">
        <v>55</v>
      </c>
      <c r="AH103" t="s">
        <v>55</v>
      </c>
      <c r="AI103" t="s">
        <v>55</v>
      </c>
      <c r="AJ103" t="s">
        <v>57</v>
      </c>
      <c r="AK103" t="s">
        <v>58</v>
      </c>
      <c r="AL103" t="s">
        <v>59</v>
      </c>
      <c r="AM103" t="s">
        <v>60</v>
      </c>
      <c r="AN103">
        <v>7</v>
      </c>
      <c r="AO103">
        <v>33</v>
      </c>
      <c r="AP103">
        <v>6</v>
      </c>
      <c r="AQ103">
        <v>13</v>
      </c>
      <c r="AR103" t="s">
        <v>55</v>
      </c>
      <c r="AS103" t="s">
        <v>55</v>
      </c>
      <c r="AT103" t="s">
        <v>56</v>
      </c>
      <c r="AU103" t="s">
        <v>62</v>
      </c>
      <c r="AV103" t="s">
        <v>63</v>
      </c>
      <c r="AW103" t="s">
        <v>60</v>
      </c>
      <c r="AX103" t="s">
        <v>60</v>
      </c>
      <c r="AY103">
        <v>4</v>
      </c>
      <c r="AZ103" t="s">
        <v>78</v>
      </c>
      <c r="BA103">
        <v>7</v>
      </c>
      <c r="BB103">
        <v>10</v>
      </c>
      <c r="BC103" t="s">
        <v>76</v>
      </c>
    </row>
    <row r="104" spans="1:55" ht="16" x14ac:dyDescent="0.2">
      <c r="A104" s="4" t="s">
        <v>7</v>
      </c>
      <c r="B104" s="4" t="s">
        <v>8</v>
      </c>
      <c r="C104" s="10">
        <v>13</v>
      </c>
      <c r="D104" s="11">
        <v>12</v>
      </c>
      <c r="E104" s="11">
        <v>13</v>
      </c>
      <c r="F104" s="9">
        <v>0</v>
      </c>
      <c r="G104" s="3">
        <v>15.5</v>
      </c>
      <c r="H104">
        <v>1</v>
      </c>
      <c r="I104">
        <v>1</v>
      </c>
      <c r="J104">
        <v>1</v>
      </c>
      <c r="K104">
        <v>1</v>
      </c>
      <c r="L104">
        <v>0.5</v>
      </c>
      <c r="M104">
        <v>1</v>
      </c>
      <c r="N104">
        <v>0.75</v>
      </c>
      <c r="O104">
        <v>0</v>
      </c>
      <c r="P104">
        <v>1</v>
      </c>
      <c r="Q104">
        <v>0.25</v>
      </c>
      <c r="R104">
        <v>1</v>
      </c>
      <c r="S104">
        <v>1</v>
      </c>
      <c r="T104">
        <f t="shared" si="16"/>
        <v>13</v>
      </c>
      <c r="U104">
        <f t="shared" si="17"/>
        <v>12</v>
      </c>
      <c r="V104">
        <f t="shared" si="18"/>
        <v>13</v>
      </c>
      <c r="W104">
        <f t="shared" si="19"/>
        <v>0</v>
      </c>
      <c r="X104">
        <f t="shared" si="20"/>
        <v>15.5</v>
      </c>
      <c r="Y104" t="str">
        <f>+VLOOKUP(A104,'[1]Tárgy kurzusai'!$A:$C,3,0)</f>
        <v>P:09:50-11:20(E.3.338)</v>
      </c>
      <c r="Z104">
        <f>+VLOOKUP(A104,'[1]Tárgy kurzusai'!$A:$F,6,0)</f>
        <v>3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</row>
    <row r="105" spans="1:55" ht="16" x14ac:dyDescent="0.2">
      <c r="A105" s="4" t="s">
        <v>7</v>
      </c>
      <c r="B105" s="4" t="s">
        <v>8</v>
      </c>
      <c r="C105" s="12">
        <v>0</v>
      </c>
      <c r="D105" s="9">
        <v>0</v>
      </c>
      <c r="E105" s="9">
        <v>0</v>
      </c>
      <c r="F105" s="9">
        <v>0</v>
      </c>
      <c r="G105" s="3" t="e">
        <v>#N/A</v>
      </c>
      <c r="H105">
        <v>0.75</v>
      </c>
      <c r="I105">
        <v>0.75</v>
      </c>
      <c r="J105">
        <v>0.75</v>
      </c>
      <c r="K105">
        <v>0</v>
      </c>
      <c r="L105">
        <v>0</v>
      </c>
      <c r="M105">
        <v>1</v>
      </c>
      <c r="N105">
        <v>0.75</v>
      </c>
      <c r="O105">
        <v>1</v>
      </c>
      <c r="P105">
        <v>1</v>
      </c>
      <c r="Q105">
        <v>0.75</v>
      </c>
      <c r="R105">
        <v>0</v>
      </c>
      <c r="S105">
        <v>0</v>
      </c>
      <c r="T105">
        <f t="shared" si="16"/>
        <v>0</v>
      </c>
      <c r="U105">
        <f t="shared" si="17"/>
        <v>0</v>
      </c>
      <c r="V105">
        <f t="shared" si="18"/>
        <v>0</v>
      </c>
      <c r="W105">
        <f t="shared" si="19"/>
        <v>0</v>
      </c>
      <c r="X105" t="e">
        <f t="shared" si="20"/>
        <v>#N/A</v>
      </c>
      <c r="Y105" t="str">
        <f>+VLOOKUP(A105,'[1]Tárgy kurzusai'!$A:$C,3,0)</f>
        <v>P:09:50-11:20(E.3.338)</v>
      </c>
      <c r="Z105">
        <f>+VLOOKUP(A105,'[1]Tárgy kurzusai'!$A:$F,6,0)</f>
        <v>3</v>
      </c>
      <c r="AA105" t="s">
        <v>49</v>
      </c>
      <c r="AB105" t="s">
        <v>71</v>
      </c>
      <c r="AC105" t="s">
        <v>74</v>
      </c>
      <c r="AD105" t="s">
        <v>60</v>
      </c>
      <c r="AE105" t="s">
        <v>69</v>
      </c>
      <c r="AF105" t="s">
        <v>69</v>
      </c>
      <c r="AG105" t="s">
        <v>55</v>
      </c>
      <c r="AH105" t="s">
        <v>55</v>
      </c>
      <c r="AI105" t="s">
        <v>56</v>
      </c>
      <c r="AJ105" t="s">
        <v>60</v>
      </c>
      <c r="AK105" t="s">
        <v>79</v>
      </c>
      <c r="AL105" t="s">
        <v>59</v>
      </c>
      <c r="AM105" t="s">
        <v>60</v>
      </c>
      <c r="AN105">
        <v>8</v>
      </c>
      <c r="AO105">
        <v>34</v>
      </c>
      <c r="AP105">
        <v>5</v>
      </c>
      <c r="AQ105">
        <v>3</v>
      </c>
      <c r="AR105" t="s">
        <v>55</v>
      </c>
      <c r="AS105" t="s">
        <v>61</v>
      </c>
      <c r="AT105" t="s">
        <v>56</v>
      </c>
      <c r="AU105" t="s">
        <v>62</v>
      </c>
      <c r="AV105" t="s">
        <v>63</v>
      </c>
      <c r="AW105" t="s">
        <v>60</v>
      </c>
      <c r="AX105" t="s">
        <v>60</v>
      </c>
      <c r="AY105">
        <v>2</v>
      </c>
      <c r="AZ105" t="s">
        <v>78</v>
      </c>
      <c r="BA105">
        <v>4</v>
      </c>
      <c r="BB105">
        <v>2</v>
      </c>
      <c r="BC105" t="s">
        <v>82</v>
      </c>
    </row>
    <row r="106" spans="1:55" ht="16" x14ac:dyDescent="0.2">
      <c r="A106" s="4" t="s">
        <v>7</v>
      </c>
      <c r="B106" s="4" t="s">
        <v>8</v>
      </c>
      <c r="C106" s="10">
        <v>14</v>
      </c>
      <c r="D106" s="11">
        <v>12.5</v>
      </c>
      <c r="E106" s="11">
        <v>16</v>
      </c>
      <c r="F106" s="9">
        <v>0</v>
      </c>
      <c r="G106" s="3" t="e">
        <v>#N/A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0.5</v>
      </c>
      <c r="R106">
        <v>0</v>
      </c>
      <c r="S106">
        <v>0</v>
      </c>
      <c r="T106">
        <f t="shared" si="16"/>
        <v>14</v>
      </c>
      <c r="U106">
        <f t="shared" si="17"/>
        <v>12.5</v>
      </c>
      <c r="V106">
        <f t="shared" si="18"/>
        <v>16</v>
      </c>
      <c r="W106">
        <f t="shared" si="19"/>
        <v>0</v>
      </c>
      <c r="X106" t="e">
        <f t="shared" si="20"/>
        <v>#N/A</v>
      </c>
      <c r="Y106" t="str">
        <f>+VLOOKUP(A106,'[1]Tárgy kurzusai'!$A:$C,3,0)</f>
        <v>P:09:50-11:20(E.3.338)</v>
      </c>
      <c r="Z106">
        <f>+VLOOKUP(A106,'[1]Tárgy kurzusai'!$A:$F,6,0)</f>
        <v>3</v>
      </c>
      <c r="AA106" t="s">
        <v>66</v>
      </c>
      <c r="AB106" t="s">
        <v>50</v>
      </c>
      <c r="AC106" t="s">
        <v>74</v>
      </c>
      <c r="AD106" t="s">
        <v>60</v>
      </c>
      <c r="AE106" t="s">
        <v>69</v>
      </c>
      <c r="AF106" t="s">
        <v>69</v>
      </c>
      <c r="AG106" t="s">
        <v>55</v>
      </c>
      <c r="AH106" t="s">
        <v>55</v>
      </c>
      <c r="AI106" t="s">
        <v>55</v>
      </c>
      <c r="AJ106" t="s">
        <v>57</v>
      </c>
      <c r="AK106" t="s">
        <v>58</v>
      </c>
      <c r="AL106" t="s">
        <v>59</v>
      </c>
      <c r="AM106" t="s">
        <v>60</v>
      </c>
      <c r="AN106">
        <v>6</v>
      </c>
      <c r="AO106">
        <v>36</v>
      </c>
      <c r="AP106">
        <v>5</v>
      </c>
      <c r="AQ106">
        <v>11</v>
      </c>
      <c r="AR106" t="s">
        <v>55</v>
      </c>
      <c r="AS106" t="s">
        <v>61</v>
      </c>
      <c r="AT106" t="s">
        <v>55</v>
      </c>
      <c r="AU106" t="s">
        <v>62</v>
      </c>
      <c r="AV106" t="s">
        <v>63</v>
      </c>
      <c r="AW106" t="s">
        <v>60</v>
      </c>
      <c r="AX106" t="s">
        <v>60</v>
      </c>
      <c r="AY106">
        <v>3</v>
      </c>
      <c r="AZ106" t="s">
        <v>78</v>
      </c>
      <c r="BA106">
        <v>5</v>
      </c>
      <c r="BB106">
        <v>6</v>
      </c>
      <c r="BC106" t="s">
        <v>76</v>
      </c>
    </row>
    <row r="107" spans="1:55" ht="16" x14ac:dyDescent="0.2">
      <c r="A107" s="4" t="s">
        <v>7</v>
      </c>
      <c r="B107" s="4" t="s">
        <v>8</v>
      </c>
      <c r="C107" s="10">
        <v>14</v>
      </c>
      <c r="D107" s="11">
        <v>16</v>
      </c>
      <c r="E107" s="11">
        <v>13</v>
      </c>
      <c r="F107" s="11">
        <v>15</v>
      </c>
      <c r="G107" s="3">
        <v>34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0.75</v>
      </c>
      <c r="R107">
        <v>1</v>
      </c>
      <c r="S107">
        <v>1</v>
      </c>
      <c r="T107">
        <f t="shared" si="16"/>
        <v>14</v>
      </c>
      <c r="U107">
        <f t="shared" si="17"/>
        <v>16</v>
      </c>
      <c r="V107">
        <f t="shared" si="18"/>
        <v>13</v>
      </c>
      <c r="W107">
        <f t="shared" si="19"/>
        <v>15</v>
      </c>
      <c r="X107">
        <f t="shared" si="20"/>
        <v>34</v>
      </c>
      <c r="Y107" t="str">
        <f>+VLOOKUP(A107,'[1]Tárgy kurzusai'!$A:$C,3,0)</f>
        <v>P:09:50-11:20(E.3.338)</v>
      </c>
      <c r="Z107">
        <f>+VLOOKUP(A107,'[1]Tárgy kurzusai'!$A:$F,6,0)</f>
        <v>3</v>
      </c>
      <c r="AA107" t="s">
        <v>49</v>
      </c>
      <c r="AB107" t="s">
        <v>80</v>
      </c>
      <c r="AC107" t="s">
        <v>51</v>
      </c>
      <c r="AD107" t="s">
        <v>77</v>
      </c>
      <c r="AE107" t="s">
        <v>69</v>
      </c>
      <c r="AF107" t="s">
        <v>69</v>
      </c>
      <c r="AG107" t="s">
        <v>55</v>
      </c>
      <c r="AH107" t="s">
        <v>55</v>
      </c>
      <c r="AI107" t="s">
        <v>55</v>
      </c>
      <c r="AJ107" t="s">
        <v>57</v>
      </c>
      <c r="AK107" t="s">
        <v>58</v>
      </c>
      <c r="AL107" t="s">
        <v>59</v>
      </c>
      <c r="AM107" t="s">
        <v>60</v>
      </c>
      <c r="AN107">
        <v>7</v>
      </c>
      <c r="AO107">
        <v>33</v>
      </c>
      <c r="AP107">
        <v>5</v>
      </c>
      <c r="AQ107">
        <v>14</v>
      </c>
      <c r="AR107" t="s">
        <v>55</v>
      </c>
      <c r="AS107" t="s">
        <v>55</v>
      </c>
      <c r="AT107" t="s">
        <v>56</v>
      </c>
      <c r="AU107" t="s">
        <v>62</v>
      </c>
      <c r="AV107" t="s">
        <v>63</v>
      </c>
      <c r="AW107" t="s">
        <v>60</v>
      </c>
      <c r="AX107" t="s">
        <v>60</v>
      </c>
      <c r="AY107">
        <v>2</v>
      </c>
      <c r="AZ107" t="s">
        <v>64</v>
      </c>
      <c r="BA107">
        <v>4</v>
      </c>
      <c r="BB107">
        <v>5</v>
      </c>
      <c r="BC107" t="s">
        <v>65</v>
      </c>
    </row>
    <row r="108" spans="1:55" ht="16" x14ac:dyDescent="0.2">
      <c r="A108" s="4" t="s">
        <v>7</v>
      </c>
      <c r="B108" s="4" t="s">
        <v>8</v>
      </c>
      <c r="C108" s="10">
        <v>9</v>
      </c>
      <c r="D108" s="11">
        <v>4</v>
      </c>
      <c r="E108" s="11">
        <v>9</v>
      </c>
      <c r="F108" s="11">
        <v>7</v>
      </c>
      <c r="G108" s="3">
        <v>21.5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0.33</v>
      </c>
      <c r="P108">
        <v>1</v>
      </c>
      <c r="Q108">
        <v>0.5</v>
      </c>
      <c r="R108">
        <v>1</v>
      </c>
      <c r="S108">
        <v>0.5</v>
      </c>
      <c r="T108">
        <f t="shared" si="16"/>
        <v>9</v>
      </c>
      <c r="U108">
        <f t="shared" si="17"/>
        <v>4</v>
      </c>
      <c r="V108">
        <f t="shared" si="18"/>
        <v>9</v>
      </c>
      <c r="W108">
        <f t="shared" si="19"/>
        <v>7</v>
      </c>
      <c r="X108">
        <f t="shared" si="20"/>
        <v>21.5</v>
      </c>
      <c r="Y108" t="str">
        <f>+VLOOKUP(A108,'[1]Tárgy kurzusai'!$A:$C,3,0)</f>
        <v>P:09:50-11:20(E.3.338)</v>
      </c>
      <c r="Z108">
        <f>+VLOOKUP(A108,'[1]Tárgy kurzusai'!$A:$F,6,0)</f>
        <v>3</v>
      </c>
      <c r="AA108" t="s">
        <v>66</v>
      </c>
      <c r="AB108" t="s">
        <v>80</v>
      </c>
      <c r="AC108" t="s">
        <v>75</v>
      </c>
      <c r="AD108" t="s">
        <v>77</v>
      </c>
      <c r="AE108" t="s">
        <v>69</v>
      </c>
      <c r="AF108" t="s">
        <v>69</v>
      </c>
      <c r="AG108" t="s">
        <v>56</v>
      </c>
      <c r="AH108" t="s">
        <v>55</v>
      </c>
      <c r="AI108" t="s">
        <v>55</v>
      </c>
      <c r="AJ108" t="s">
        <v>57</v>
      </c>
      <c r="AK108" t="s">
        <v>58</v>
      </c>
      <c r="AL108" t="s">
        <v>59</v>
      </c>
      <c r="AM108" t="s">
        <v>60</v>
      </c>
      <c r="AN108">
        <v>6</v>
      </c>
      <c r="AO108">
        <v>28</v>
      </c>
      <c r="AP108">
        <v>4</v>
      </c>
      <c r="AQ108">
        <v>10</v>
      </c>
      <c r="AR108" t="s">
        <v>55</v>
      </c>
      <c r="AS108" t="s">
        <v>61</v>
      </c>
      <c r="AT108" t="s">
        <v>56</v>
      </c>
      <c r="AU108" t="s">
        <v>62</v>
      </c>
      <c r="AV108" t="s">
        <v>63</v>
      </c>
      <c r="AW108" t="s">
        <v>60</v>
      </c>
      <c r="AX108" t="s">
        <v>60</v>
      </c>
      <c r="AY108">
        <v>4</v>
      </c>
      <c r="AZ108" t="s">
        <v>64</v>
      </c>
      <c r="BA108">
        <v>7</v>
      </c>
      <c r="BB108">
        <v>9</v>
      </c>
      <c r="BC108" t="s">
        <v>65</v>
      </c>
    </row>
    <row r="109" spans="1:55" ht="16" x14ac:dyDescent="0.2">
      <c r="A109" s="4" t="s">
        <v>7</v>
      </c>
      <c r="B109" s="4" t="s">
        <v>8</v>
      </c>
      <c r="C109" s="10">
        <v>8</v>
      </c>
      <c r="D109" s="11">
        <v>6</v>
      </c>
      <c r="E109" s="9">
        <v>0</v>
      </c>
      <c r="F109" s="9">
        <v>0</v>
      </c>
      <c r="G109" s="3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0.75</v>
      </c>
      <c r="O109">
        <v>0.67</v>
      </c>
      <c r="P109">
        <v>1</v>
      </c>
      <c r="Q109">
        <v>0.75</v>
      </c>
      <c r="R109">
        <v>0</v>
      </c>
      <c r="S109">
        <v>1</v>
      </c>
      <c r="T109">
        <f t="shared" si="16"/>
        <v>8</v>
      </c>
      <c r="U109">
        <f t="shared" si="17"/>
        <v>6</v>
      </c>
      <c r="V109">
        <f t="shared" si="18"/>
        <v>0</v>
      </c>
      <c r="W109">
        <f t="shared" si="19"/>
        <v>0</v>
      </c>
      <c r="X109">
        <f t="shared" si="20"/>
        <v>0</v>
      </c>
      <c r="Y109" t="str">
        <f>+VLOOKUP(A109,'[1]Tárgy kurzusai'!$A:$C,3,0)</f>
        <v>P:09:50-11:20(E.3.338)</v>
      </c>
      <c r="Z109">
        <f>+VLOOKUP(A109,'[1]Tárgy kurzusai'!$A:$F,6,0)</f>
        <v>3</v>
      </c>
      <c r="AA109" t="s">
        <v>66</v>
      </c>
      <c r="AB109" t="s">
        <v>67</v>
      </c>
      <c r="AC109" t="s">
        <v>72</v>
      </c>
      <c r="AD109" t="s">
        <v>73</v>
      </c>
      <c r="AE109" t="s">
        <v>60</v>
      </c>
      <c r="AF109" t="s">
        <v>69</v>
      </c>
      <c r="AG109" t="s">
        <v>55</v>
      </c>
      <c r="AH109" t="s">
        <v>55</v>
      </c>
      <c r="AI109" t="s">
        <v>55</v>
      </c>
      <c r="AJ109" t="s">
        <v>57</v>
      </c>
      <c r="AK109" t="s">
        <v>58</v>
      </c>
      <c r="AL109" t="s">
        <v>59</v>
      </c>
      <c r="AM109" t="s">
        <v>60</v>
      </c>
      <c r="AN109">
        <v>7</v>
      </c>
      <c r="AO109">
        <v>34</v>
      </c>
      <c r="AP109">
        <v>6</v>
      </c>
      <c r="AQ109">
        <v>13</v>
      </c>
      <c r="AR109" t="s">
        <v>55</v>
      </c>
      <c r="AS109" t="s">
        <v>55</v>
      </c>
      <c r="AT109" t="s">
        <v>55</v>
      </c>
      <c r="AU109" t="s">
        <v>62</v>
      </c>
      <c r="AV109" t="s">
        <v>63</v>
      </c>
      <c r="AW109" t="s">
        <v>60</v>
      </c>
      <c r="AX109" t="s">
        <v>60</v>
      </c>
      <c r="AY109">
        <v>4</v>
      </c>
      <c r="AZ109" t="s">
        <v>64</v>
      </c>
      <c r="BA109">
        <v>6</v>
      </c>
      <c r="BB109">
        <v>1</v>
      </c>
      <c r="BC109" t="s">
        <v>65</v>
      </c>
    </row>
    <row r="110" spans="1:55" ht="16" x14ac:dyDescent="0.2">
      <c r="A110" s="4" t="s">
        <v>7</v>
      </c>
      <c r="B110" s="4" t="s">
        <v>8</v>
      </c>
      <c r="C110" s="10">
        <v>12</v>
      </c>
      <c r="D110" s="11">
        <v>13</v>
      </c>
      <c r="E110" s="11">
        <v>13</v>
      </c>
      <c r="F110" s="11">
        <v>10</v>
      </c>
      <c r="G110" s="3">
        <v>26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1</v>
      </c>
      <c r="Q110">
        <v>0.25</v>
      </c>
      <c r="R110">
        <v>1</v>
      </c>
      <c r="S110">
        <v>1</v>
      </c>
      <c r="T110">
        <f t="shared" si="16"/>
        <v>12</v>
      </c>
      <c r="U110">
        <f t="shared" si="17"/>
        <v>13</v>
      </c>
      <c r="V110">
        <f t="shared" si="18"/>
        <v>13</v>
      </c>
      <c r="W110">
        <f t="shared" si="19"/>
        <v>10</v>
      </c>
      <c r="X110">
        <f t="shared" si="20"/>
        <v>26</v>
      </c>
      <c r="Y110" t="str">
        <f>+VLOOKUP(A110,'[1]Tárgy kurzusai'!$A:$C,3,0)</f>
        <v>P:09:50-11:20(E.3.338)</v>
      </c>
      <c r="Z110">
        <f>+VLOOKUP(A110,'[1]Tárgy kurzusai'!$A:$F,6,0)</f>
        <v>3</v>
      </c>
      <c r="AA110" t="s">
        <v>66</v>
      </c>
      <c r="AB110" t="s">
        <v>50</v>
      </c>
      <c r="AC110" t="s">
        <v>74</v>
      </c>
      <c r="AD110" t="s">
        <v>60</v>
      </c>
      <c r="AE110" t="s">
        <v>69</v>
      </c>
      <c r="AF110" t="s">
        <v>69</v>
      </c>
      <c r="AG110" t="s">
        <v>55</v>
      </c>
      <c r="AH110" t="s">
        <v>55</v>
      </c>
      <c r="AI110" t="s">
        <v>55</v>
      </c>
      <c r="AJ110" t="s">
        <v>57</v>
      </c>
      <c r="AK110" t="s">
        <v>58</v>
      </c>
      <c r="AL110" t="s">
        <v>59</v>
      </c>
      <c r="AM110" t="s">
        <v>60</v>
      </c>
      <c r="AN110">
        <v>6</v>
      </c>
      <c r="AO110">
        <v>33</v>
      </c>
      <c r="AP110">
        <v>5</v>
      </c>
      <c r="AQ110">
        <v>10</v>
      </c>
      <c r="AR110" t="s">
        <v>55</v>
      </c>
      <c r="AS110" t="s">
        <v>55</v>
      </c>
      <c r="AT110" t="s">
        <v>56</v>
      </c>
      <c r="AU110" t="s">
        <v>62</v>
      </c>
      <c r="AV110" t="s">
        <v>63</v>
      </c>
      <c r="AW110" t="s">
        <v>60</v>
      </c>
      <c r="AX110" t="s">
        <v>60</v>
      </c>
      <c r="AY110">
        <v>3</v>
      </c>
      <c r="AZ110" t="s">
        <v>64</v>
      </c>
      <c r="BA110">
        <v>9</v>
      </c>
      <c r="BB110">
        <v>8</v>
      </c>
      <c r="BC110" t="s">
        <v>76</v>
      </c>
    </row>
    <row r="111" spans="1:55" ht="16" x14ac:dyDescent="0.2">
      <c r="A111" s="4" t="s">
        <v>7</v>
      </c>
      <c r="B111" s="4" t="s">
        <v>8</v>
      </c>
      <c r="C111" s="10">
        <v>13</v>
      </c>
      <c r="D111" s="11">
        <v>14</v>
      </c>
      <c r="E111" s="11">
        <v>12</v>
      </c>
      <c r="F111" s="11">
        <v>11</v>
      </c>
      <c r="G111" s="3">
        <v>28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0.5</v>
      </c>
      <c r="O111">
        <v>1</v>
      </c>
      <c r="P111">
        <v>1</v>
      </c>
      <c r="Q111">
        <v>0.75</v>
      </c>
      <c r="R111">
        <v>1</v>
      </c>
      <c r="S111">
        <v>1</v>
      </c>
      <c r="T111">
        <f t="shared" si="16"/>
        <v>13</v>
      </c>
      <c r="U111">
        <f t="shared" si="17"/>
        <v>14</v>
      </c>
      <c r="V111">
        <f t="shared" si="18"/>
        <v>12</v>
      </c>
      <c r="W111">
        <f t="shared" si="19"/>
        <v>11</v>
      </c>
      <c r="X111">
        <f t="shared" si="20"/>
        <v>28</v>
      </c>
      <c r="Y111" t="str">
        <f>+VLOOKUP(A111,'[1]Tárgy kurzusai'!$A:$C,3,0)</f>
        <v>P:09:50-11:20(E.3.338)</v>
      </c>
      <c r="Z111">
        <f>+VLOOKUP(A111,'[1]Tárgy kurzusai'!$A:$F,6,0)</f>
        <v>3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</row>
    <row r="112" spans="1:55" ht="16" x14ac:dyDescent="0.2">
      <c r="A112" s="4" t="s">
        <v>7</v>
      </c>
      <c r="B112" s="4" t="s">
        <v>8</v>
      </c>
      <c r="C112" s="10">
        <v>15</v>
      </c>
      <c r="D112" s="11">
        <v>13</v>
      </c>
      <c r="E112" s="11">
        <v>11</v>
      </c>
      <c r="F112" s="11">
        <v>15.5</v>
      </c>
      <c r="G112" s="3">
        <v>32.5</v>
      </c>
      <c r="H112">
        <v>1</v>
      </c>
      <c r="I112">
        <v>1</v>
      </c>
      <c r="J112">
        <v>1</v>
      </c>
      <c r="K112">
        <v>0.75</v>
      </c>
      <c r="L112">
        <v>0</v>
      </c>
      <c r="M112">
        <v>0.75</v>
      </c>
      <c r="N112">
        <v>1</v>
      </c>
      <c r="O112">
        <v>0</v>
      </c>
      <c r="P112">
        <v>1</v>
      </c>
      <c r="Q112">
        <v>0.75</v>
      </c>
      <c r="R112">
        <v>1</v>
      </c>
      <c r="S112">
        <v>1</v>
      </c>
      <c r="T112">
        <f t="shared" si="16"/>
        <v>15</v>
      </c>
      <c r="U112">
        <f t="shared" si="17"/>
        <v>13</v>
      </c>
      <c r="V112">
        <f t="shared" si="18"/>
        <v>11</v>
      </c>
      <c r="W112">
        <f t="shared" si="19"/>
        <v>15.5</v>
      </c>
      <c r="X112">
        <f t="shared" si="20"/>
        <v>32.5</v>
      </c>
      <c r="Y112" t="str">
        <f>+VLOOKUP(A112,'[1]Tárgy kurzusai'!$A:$C,3,0)</f>
        <v>P:09:50-11:20(E.3.338)</v>
      </c>
      <c r="Z112">
        <f>+VLOOKUP(A112,'[1]Tárgy kurzusai'!$A:$F,6,0)</f>
        <v>3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</row>
    <row r="113" spans="1:55" ht="16" x14ac:dyDescent="0.2">
      <c r="A113" s="4" t="s">
        <v>7</v>
      </c>
      <c r="B113" s="4" t="s">
        <v>8</v>
      </c>
      <c r="C113" s="12">
        <v>0</v>
      </c>
      <c r="D113" s="9">
        <v>0</v>
      </c>
      <c r="E113" s="9">
        <v>0</v>
      </c>
      <c r="F113" s="9">
        <v>0</v>
      </c>
      <c r="G113" s="3" t="e">
        <v>#N/A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f t="shared" si="16"/>
        <v>0</v>
      </c>
      <c r="U113">
        <f t="shared" si="17"/>
        <v>0</v>
      </c>
      <c r="V113">
        <f t="shared" si="18"/>
        <v>0</v>
      </c>
      <c r="W113">
        <f t="shared" si="19"/>
        <v>0</v>
      </c>
      <c r="X113" t="e">
        <f t="shared" si="20"/>
        <v>#N/A</v>
      </c>
      <c r="Y113" t="str">
        <f>+VLOOKUP(A113,'[1]Tárgy kurzusai'!$A:$C,3,0)</f>
        <v>P:09:50-11:20(E.3.338)</v>
      </c>
      <c r="Z113">
        <f>+VLOOKUP(A113,'[1]Tárgy kurzusai'!$A:$F,6,0)</f>
        <v>3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</row>
    <row r="114" spans="1:55" ht="16" x14ac:dyDescent="0.2">
      <c r="A114" s="4" t="s">
        <v>7</v>
      </c>
      <c r="B114" s="4" t="s">
        <v>8</v>
      </c>
      <c r="C114" s="10">
        <v>13</v>
      </c>
      <c r="D114" s="11">
        <v>11.5</v>
      </c>
      <c r="E114" s="11">
        <v>14</v>
      </c>
      <c r="F114" s="11">
        <v>13</v>
      </c>
      <c r="G114" s="3">
        <v>23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0.5</v>
      </c>
      <c r="R114">
        <v>1</v>
      </c>
      <c r="S114">
        <v>1</v>
      </c>
      <c r="T114">
        <f t="shared" si="16"/>
        <v>13</v>
      </c>
      <c r="U114">
        <f t="shared" si="17"/>
        <v>11.5</v>
      </c>
      <c r="V114">
        <f t="shared" si="18"/>
        <v>14</v>
      </c>
      <c r="W114">
        <f t="shared" si="19"/>
        <v>13</v>
      </c>
      <c r="X114">
        <f t="shared" si="20"/>
        <v>23</v>
      </c>
      <c r="Y114" t="str">
        <f>+VLOOKUP(A114,'[1]Tárgy kurzusai'!$A:$C,3,0)</f>
        <v>P:09:50-11:20(E.3.338)</v>
      </c>
      <c r="Z114">
        <f>+VLOOKUP(A114,'[1]Tárgy kurzusai'!$A:$F,6,0)</f>
        <v>3</v>
      </c>
      <c r="AA114" t="s">
        <v>66</v>
      </c>
      <c r="AB114" t="s">
        <v>71</v>
      </c>
      <c r="AC114" t="s">
        <v>74</v>
      </c>
      <c r="AD114" t="s">
        <v>60</v>
      </c>
      <c r="AE114" t="s">
        <v>53</v>
      </c>
      <c r="AF114" t="s">
        <v>54</v>
      </c>
      <c r="AG114" t="s">
        <v>55</v>
      </c>
      <c r="AH114" t="s">
        <v>55</v>
      </c>
      <c r="AI114" t="s">
        <v>55</v>
      </c>
      <c r="AJ114" t="s">
        <v>57</v>
      </c>
      <c r="AK114" t="s">
        <v>58</v>
      </c>
      <c r="AL114" t="s">
        <v>59</v>
      </c>
      <c r="AM114" t="s">
        <v>60</v>
      </c>
      <c r="AN114">
        <v>7</v>
      </c>
      <c r="AO114">
        <v>33</v>
      </c>
      <c r="AP114">
        <v>5</v>
      </c>
      <c r="AQ114">
        <v>15</v>
      </c>
      <c r="AR114" t="s">
        <v>55</v>
      </c>
      <c r="AS114" t="s">
        <v>61</v>
      </c>
      <c r="AT114" t="s">
        <v>55</v>
      </c>
      <c r="AU114" t="s">
        <v>62</v>
      </c>
      <c r="AV114" t="s">
        <v>63</v>
      </c>
      <c r="AW114" t="s">
        <v>60</v>
      </c>
      <c r="AX114" t="s">
        <v>60</v>
      </c>
      <c r="AY114">
        <v>4</v>
      </c>
      <c r="AZ114" t="s">
        <v>64</v>
      </c>
      <c r="BA114">
        <v>2</v>
      </c>
      <c r="BB114">
        <v>7</v>
      </c>
      <c r="BC114" t="s">
        <v>76</v>
      </c>
    </row>
    <row r="115" spans="1:55" ht="16" x14ac:dyDescent="0.2">
      <c r="A115" s="4" t="s">
        <v>7</v>
      </c>
      <c r="B115" s="4" t="s">
        <v>8</v>
      </c>
      <c r="C115" s="10">
        <v>9</v>
      </c>
      <c r="D115" s="11">
        <v>9</v>
      </c>
      <c r="E115" s="11">
        <v>11</v>
      </c>
      <c r="F115" s="11">
        <v>14</v>
      </c>
      <c r="G115" s="3">
        <v>29.5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0.25</v>
      </c>
      <c r="O115">
        <v>0.5</v>
      </c>
      <c r="P115">
        <v>0</v>
      </c>
      <c r="Q115">
        <v>0.5</v>
      </c>
      <c r="R115">
        <v>1</v>
      </c>
      <c r="S115">
        <v>1</v>
      </c>
      <c r="T115">
        <f t="shared" si="16"/>
        <v>9</v>
      </c>
      <c r="U115">
        <f t="shared" si="17"/>
        <v>9</v>
      </c>
      <c r="V115">
        <f t="shared" si="18"/>
        <v>11</v>
      </c>
      <c r="W115">
        <f t="shared" si="19"/>
        <v>14</v>
      </c>
      <c r="X115">
        <f t="shared" si="20"/>
        <v>29.5</v>
      </c>
      <c r="Y115" t="str">
        <f>+VLOOKUP(A115,'[1]Tárgy kurzusai'!$A:$C,3,0)</f>
        <v>P:09:50-11:20(E.3.338)</v>
      </c>
      <c r="Z115">
        <f>+VLOOKUP(A115,'[1]Tárgy kurzusai'!$A:$F,6,0)</f>
        <v>3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</row>
    <row r="116" spans="1:55" ht="16" x14ac:dyDescent="0.2">
      <c r="A116" s="4" t="s">
        <v>7</v>
      </c>
      <c r="B116" s="4" t="s">
        <v>8</v>
      </c>
      <c r="C116" s="10">
        <v>8</v>
      </c>
      <c r="D116" s="11">
        <v>2.5</v>
      </c>
      <c r="E116" s="11">
        <v>8.5</v>
      </c>
      <c r="F116" s="11">
        <v>8</v>
      </c>
      <c r="G116" s="3">
        <v>24.5</v>
      </c>
      <c r="H116">
        <v>0.25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0.75</v>
      </c>
      <c r="R116">
        <v>1</v>
      </c>
      <c r="S116">
        <v>1</v>
      </c>
      <c r="T116">
        <f t="shared" si="16"/>
        <v>8</v>
      </c>
      <c r="U116">
        <f t="shared" si="17"/>
        <v>2.5</v>
      </c>
      <c r="V116">
        <f t="shared" si="18"/>
        <v>8.5</v>
      </c>
      <c r="W116">
        <f t="shared" si="19"/>
        <v>8</v>
      </c>
      <c r="X116">
        <f t="shared" si="20"/>
        <v>24.5</v>
      </c>
      <c r="Y116" t="str">
        <f>+VLOOKUP(A116,'[1]Tárgy kurzusai'!$A:$C,3,0)</f>
        <v>P:09:50-11:20(E.3.338)</v>
      </c>
      <c r="Z116">
        <f>+VLOOKUP(A116,'[1]Tárgy kurzusai'!$A:$F,6,0)</f>
        <v>3</v>
      </c>
      <c r="AA116" t="s">
        <v>66</v>
      </c>
      <c r="AB116" t="s">
        <v>71</v>
      </c>
      <c r="AC116" t="s">
        <v>51</v>
      </c>
      <c r="AD116" t="s">
        <v>68</v>
      </c>
      <c r="AE116" t="s">
        <v>69</v>
      </c>
      <c r="AF116" t="s">
        <v>69</v>
      </c>
      <c r="AG116" t="s">
        <v>55</v>
      </c>
      <c r="AH116" t="s">
        <v>55</v>
      </c>
      <c r="AI116" t="s">
        <v>55</v>
      </c>
      <c r="AJ116" t="s">
        <v>57</v>
      </c>
      <c r="AK116" t="s">
        <v>58</v>
      </c>
      <c r="AL116" t="s">
        <v>59</v>
      </c>
      <c r="AM116" t="s">
        <v>60</v>
      </c>
      <c r="AN116">
        <v>5</v>
      </c>
      <c r="AO116">
        <v>33</v>
      </c>
      <c r="AP116">
        <v>10</v>
      </c>
      <c r="AQ116">
        <v>12</v>
      </c>
      <c r="AR116" t="s">
        <v>55</v>
      </c>
      <c r="AS116" t="s">
        <v>61</v>
      </c>
      <c r="AT116" t="s">
        <v>55</v>
      </c>
      <c r="AU116" t="s">
        <v>62</v>
      </c>
      <c r="AV116" t="s">
        <v>63</v>
      </c>
      <c r="AW116" t="s">
        <v>60</v>
      </c>
      <c r="AX116" t="s">
        <v>60</v>
      </c>
      <c r="AY116">
        <v>4</v>
      </c>
      <c r="AZ116" t="s">
        <v>64</v>
      </c>
      <c r="BA116">
        <v>7</v>
      </c>
      <c r="BB116">
        <v>10</v>
      </c>
      <c r="BC116" t="s">
        <v>82</v>
      </c>
    </row>
    <row r="117" spans="1:55" ht="16" x14ac:dyDescent="0.2">
      <c r="A117" s="4" t="s">
        <v>7</v>
      </c>
      <c r="B117" s="4" t="s">
        <v>8</v>
      </c>
      <c r="C117" s="10">
        <v>14.5</v>
      </c>
      <c r="D117" s="11">
        <v>9.5</v>
      </c>
      <c r="E117" s="11">
        <v>10</v>
      </c>
      <c r="F117" s="11">
        <v>13</v>
      </c>
      <c r="G117" s="3">
        <v>26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0.75</v>
      </c>
      <c r="R117">
        <v>1</v>
      </c>
      <c r="S117">
        <v>1</v>
      </c>
      <c r="T117">
        <f t="shared" si="16"/>
        <v>14.5</v>
      </c>
      <c r="U117">
        <f t="shared" si="17"/>
        <v>9.5</v>
      </c>
      <c r="V117">
        <f t="shared" si="18"/>
        <v>10</v>
      </c>
      <c r="W117">
        <f t="shared" si="19"/>
        <v>13</v>
      </c>
      <c r="X117">
        <f t="shared" si="20"/>
        <v>26</v>
      </c>
      <c r="Y117" t="str">
        <f>+VLOOKUP(A117,'[1]Tárgy kurzusai'!$A:$C,3,0)</f>
        <v>P:09:50-11:20(E.3.338)</v>
      </c>
      <c r="Z117">
        <f>+VLOOKUP(A117,'[1]Tárgy kurzusai'!$A:$F,6,0)</f>
        <v>3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</row>
    <row r="118" spans="1:55" ht="16" x14ac:dyDescent="0.2">
      <c r="A118" s="4" t="s">
        <v>7</v>
      </c>
      <c r="B118" s="4" t="s">
        <v>8</v>
      </c>
      <c r="C118" s="10">
        <v>6.5</v>
      </c>
      <c r="D118" s="11">
        <v>7.5</v>
      </c>
      <c r="E118" s="11">
        <v>7</v>
      </c>
      <c r="F118" s="9">
        <v>0</v>
      </c>
      <c r="G118" s="3" t="e">
        <v>#N/A</v>
      </c>
      <c r="H118">
        <v>1</v>
      </c>
      <c r="I118">
        <v>1</v>
      </c>
      <c r="J118">
        <v>1</v>
      </c>
      <c r="K118">
        <v>1</v>
      </c>
      <c r="L118">
        <v>0.5</v>
      </c>
      <c r="M118">
        <v>0</v>
      </c>
      <c r="N118">
        <v>1</v>
      </c>
      <c r="O118">
        <v>1</v>
      </c>
      <c r="P118">
        <v>0.25</v>
      </c>
      <c r="Q118">
        <v>0</v>
      </c>
      <c r="R118">
        <v>1</v>
      </c>
      <c r="S118">
        <v>1</v>
      </c>
      <c r="T118">
        <f t="shared" si="16"/>
        <v>6.5</v>
      </c>
      <c r="U118">
        <f t="shared" si="17"/>
        <v>7.5</v>
      </c>
      <c r="V118">
        <f t="shared" si="18"/>
        <v>7</v>
      </c>
      <c r="W118">
        <f t="shared" si="19"/>
        <v>0</v>
      </c>
      <c r="X118" t="e">
        <f t="shared" si="20"/>
        <v>#N/A</v>
      </c>
      <c r="Y118" t="str">
        <f>+VLOOKUP(A118,'[1]Tárgy kurzusai'!$A:$C,3,0)</f>
        <v>P:09:50-11:20(E.3.338)</v>
      </c>
      <c r="Z118">
        <f>+VLOOKUP(A118,'[1]Tárgy kurzusai'!$A:$F,6,0)</f>
        <v>3</v>
      </c>
      <c r="AA118" t="s">
        <v>66</v>
      </c>
      <c r="AB118" t="s">
        <v>71</v>
      </c>
      <c r="AC118" t="s">
        <v>74</v>
      </c>
      <c r="AD118" t="s">
        <v>60</v>
      </c>
      <c r="AE118" t="s">
        <v>69</v>
      </c>
      <c r="AF118" t="s">
        <v>69</v>
      </c>
      <c r="AG118" t="s">
        <v>55</v>
      </c>
      <c r="AH118" t="s">
        <v>55</v>
      </c>
      <c r="AI118" t="s">
        <v>55</v>
      </c>
      <c r="AJ118" t="s">
        <v>57</v>
      </c>
      <c r="AK118" t="s">
        <v>79</v>
      </c>
      <c r="AL118" t="s">
        <v>59</v>
      </c>
      <c r="AM118" t="s">
        <v>60</v>
      </c>
      <c r="AN118">
        <v>6</v>
      </c>
      <c r="AO118">
        <v>34</v>
      </c>
      <c r="AP118">
        <v>6</v>
      </c>
      <c r="AQ118">
        <v>12</v>
      </c>
      <c r="AR118" t="s">
        <v>55</v>
      </c>
      <c r="AS118" t="s">
        <v>55</v>
      </c>
      <c r="AT118" t="s">
        <v>56</v>
      </c>
      <c r="AU118" t="s">
        <v>62</v>
      </c>
      <c r="AV118" t="s">
        <v>63</v>
      </c>
      <c r="AW118" t="s">
        <v>60</v>
      </c>
      <c r="AX118" t="s">
        <v>60</v>
      </c>
      <c r="AY118">
        <v>5</v>
      </c>
      <c r="AZ118" t="s">
        <v>64</v>
      </c>
      <c r="BA118">
        <v>7</v>
      </c>
      <c r="BB118">
        <v>8</v>
      </c>
      <c r="BC118" t="s">
        <v>65</v>
      </c>
    </row>
    <row r="119" spans="1:55" ht="16" x14ac:dyDescent="0.2">
      <c r="A119" s="4" t="s">
        <v>7</v>
      </c>
      <c r="B119" s="4" t="s">
        <v>8</v>
      </c>
      <c r="C119" s="10">
        <v>9</v>
      </c>
      <c r="D119" s="11">
        <v>2</v>
      </c>
      <c r="E119" s="11">
        <v>8.5</v>
      </c>
      <c r="F119" s="11">
        <v>8</v>
      </c>
      <c r="G119" s="3">
        <v>24.5</v>
      </c>
      <c r="H119">
        <v>1</v>
      </c>
      <c r="I119">
        <v>1</v>
      </c>
      <c r="J119">
        <v>0.75</v>
      </c>
      <c r="K119">
        <v>1</v>
      </c>
      <c r="L119">
        <v>0.5</v>
      </c>
      <c r="M119">
        <v>1</v>
      </c>
      <c r="N119">
        <v>1</v>
      </c>
      <c r="O119">
        <v>1</v>
      </c>
      <c r="P119">
        <v>1</v>
      </c>
      <c r="Q119">
        <v>0.25</v>
      </c>
      <c r="R119">
        <v>1</v>
      </c>
      <c r="S119">
        <v>1</v>
      </c>
      <c r="T119">
        <f t="shared" si="16"/>
        <v>9</v>
      </c>
      <c r="U119">
        <f t="shared" si="17"/>
        <v>2</v>
      </c>
      <c r="V119">
        <f t="shared" si="18"/>
        <v>8.5</v>
      </c>
      <c r="W119">
        <f t="shared" si="19"/>
        <v>8</v>
      </c>
      <c r="X119">
        <f t="shared" si="20"/>
        <v>24.5</v>
      </c>
      <c r="Y119" t="str">
        <f>+VLOOKUP(A119,'[1]Tárgy kurzusai'!$A:$C,3,0)</f>
        <v>P:09:50-11:20(E.3.338)</v>
      </c>
      <c r="Z119">
        <f>+VLOOKUP(A119,'[1]Tárgy kurzusai'!$A:$F,6,0)</f>
        <v>3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</row>
    <row r="120" spans="1:55" ht="16" x14ac:dyDescent="0.2">
      <c r="A120" s="4" t="s">
        <v>7</v>
      </c>
      <c r="B120" s="4" t="s">
        <v>8</v>
      </c>
      <c r="C120" s="10">
        <v>7.5</v>
      </c>
      <c r="D120" s="11">
        <v>7</v>
      </c>
      <c r="E120" s="11">
        <v>7.5</v>
      </c>
      <c r="F120" s="11">
        <v>9</v>
      </c>
      <c r="G120" s="3">
        <v>0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0.75</v>
      </c>
      <c r="S120">
        <v>1</v>
      </c>
      <c r="T120">
        <f t="shared" si="16"/>
        <v>7.5</v>
      </c>
      <c r="U120">
        <f t="shared" si="17"/>
        <v>7</v>
      </c>
      <c r="V120">
        <f t="shared" si="18"/>
        <v>7.5</v>
      </c>
      <c r="W120">
        <f t="shared" si="19"/>
        <v>9</v>
      </c>
      <c r="X120">
        <f t="shared" si="20"/>
        <v>0</v>
      </c>
      <c r="Y120" t="str">
        <f>+VLOOKUP(A120,'[1]Tárgy kurzusai'!$A:$C,3,0)</f>
        <v>P:09:50-11:20(E.3.338)</v>
      </c>
      <c r="Z120">
        <f>+VLOOKUP(A120,'[1]Tárgy kurzusai'!$A:$F,6,0)</f>
        <v>3</v>
      </c>
      <c r="AA120" t="s">
        <v>66</v>
      </c>
      <c r="AB120" t="s">
        <v>50</v>
      </c>
      <c r="AC120" t="s">
        <v>72</v>
      </c>
      <c r="AD120" t="s">
        <v>73</v>
      </c>
      <c r="AE120" t="s">
        <v>69</v>
      </c>
      <c r="AF120" t="s">
        <v>69</v>
      </c>
      <c r="AG120" t="s">
        <v>55</v>
      </c>
      <c r="AH120" t="s">
        <v>55</v>
      </c>
      <c r="AI120" t="s">
        <v>56</v>
      </c>
      <c r="AJ120" t="s">
        <v>57</v>
      </c>
      <c r="AK120" t="s">
        <v>58</v>
      </c>
      <c r="AL120" t="s">
        <v>59</v>
      </c>
      <c r="AM120" t="s">
        <v>60</v>
      </c>
      <c r="AN120">
        <v>7</v>
      </c>
      <c r="AO120">
        <v>36</v>
      </c>
      <c r="AP120">
        <v>5</v>
      </c>
      <c r="AQ120">
        <v>13</v>
      </c>
      <c r="AR120" t="s">
        <v>55</v>
      </c>
      <c r="AS120" t="s">
        <v>61</v>
      </c>
      <c r="AT120" t="s">
        <v>56</v>
      </c>
      <c r="AU120" t="s">
        <v>62</v>
      </c>
      <c r="AV120" t="s">
        <v>63</v>
      </c>
      <c r="AW120" t="s">
        <v>60</v>
      </c>
      <c r="AX120" t="s">
        <v>60</v>
      </c>
      <c r="AY120">
        <v>4</v>
      </c>
      <c r="AZ120" t="s">
        <v>64</v>
      </c>
      <c r="BA120">
        <v>9</v>
      </c>
      <c r="BB120">
        <v>8</v>
      </c>
      <c r="BC120" t="s">
        <v>76</v>
      </c>
    </row>
    <row r="121" spans="1:55" ht="16" x14ac:dyDescent="0.2">
      <c r="A121" s="4" t="s">
        <v>7</v>
      </c>
      <c r="B121" s="4" t="s">
        <v>8</v>
      </c>
      <c r="C121" s="10">
        <v>5</v>
      </c>
      <c r="D121" s="11">
        <v>6</v>
      </c>
      <c r="E121" s="11">
        <v>14</v>
      </c>
      <c r="F121" s="11">
        <v>7</v>
      </c>
      <c r="G121" s="3">
        <v>23.5</v>
      </c>
      <c r="H121">
        <v>1</v>
      </c>
      <c r="I121">
        <v>1</v>
      </c>
      <c r="J121">
        <v>0</v>
      </c>
      <c r="K121">
        <v>0.75</v>
      </c>
      <c r="L121">
        <v>0.5</v>
      </c>
      <c r="M121">
        <v>1</v>
      </c>
      <c r="N121">
        <v>0.75</v>
      </c>
      <c r="O121">
        <v>0.33</v>
      </c>
      <c r="P121">
        <v>1</v>
      </c>
      <c r="Q121">
        <v>0.75</v>
      </c>
      <c r="R121">
        <v>1</v>
      </c>
      <c r="S121">
        <v>1</v>
      </c>
      <c r="T121">
        <f t="shared" si="16"/>
        <v>5</v>
      </c>
      <c r="U121">
        <f t="shared" si="17"/>
        <v>6</v>
      </c>
      <c r="V121">
        <f t="shared" si="18"/>
        <v>14</v>
      </c>
      <c r="W121">
        <f t="shared" si="19"/>
        <v>7</v>
      </c>
      <c r="X121">
        <f t="shared" si="20"/>
        <v>23.5</v>
      </c>
      <c r="Y121" t="str">
        <f>+VLOOKUP(A121,'[1]Tárgy kurzusai'!$A:$C,3,0)</f>
        <v>P:09:50-11:20(E.3.338)</v>
      </c>
      <c r="Z121">
        <f>+VLOOKUP(A121,'[1]Tárgy kurzusai'!$A:$F,6,0)</f>
        <v>3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</row>
    <row r="122" spans="1:55" ht="16" x14ac:dyDescent="0.2">
      <c r="A122" s="4" t="s">
        <v>7</v>
      </c>
      <c r="B122" s="4" t="s">
        <v>8</v>
      </c>
      <c r="C122" s="10">
        <v>13</v>
      </c>
      <c r="D122" s="11">
        <v>6</v>
      </c>
      <c r="E122" s="11">
        <v>16</v>
      </c>
      <c r="F122" s="11">
        <v>11</v>
      </c>
      <c r="G122" s="3">
        <v>20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0.33</v>
      </c>
      <c r="P122">
        <v>1</v>
      </c>
      <c r="Q122">
        <v>0.5</v>
      </c>
      <c r="R122">
        <v>1</v>
      </c>
      <c r="S122">
        <v>1</v>
      </c>
      <c r="T122">
        <f t="shared" si="16"/>
        <v>13</v>
      </c>
      <c r="U122">
        <f t="shared" si="17"/>
        <v>6</v>
      </c>
      <c r="V122">
        <f t="shared" si="18"/>
        <v>16</v>
      </c>
      <c r="W122">
        <f t="shared" si="19"/>
        <v>11</v>
      </c>
      <c r="X122">
        <f t="shared" si="20"/>
        <v>20</v>
      </c>
      <c r="Y122" t="str">
        <f>+VLOOKUP(A122,'[1]Tárgy kurzusai'!$A:$C,3,0)</f>
        <v>P:09:50-11:20(E.3.338)</v>
      </c>
      <c r="Z122">
        <f>+VLOOKUP(A122,'[1]Tárgy kurzusai'!$A:$F,6,0)</f>
        <v>3</v>
      </c>
      <c r="AA122" t="s">
        <v>49</v>
      </c>
      <c r="AB122" t="s">
        <v>80</v>
      </c>
      <c r="AC122" t="s">
        <v>51</v>
      </c>
      <c r="AD122" t="s">
        <v>86</v>
      </c>
      <c r="AE122" t="s">
        <v>69</v>
      </c>
      <c r="AF122" t="s">
        <v>60</v>
      </c>
      <c r="AG122" t="s">
        <v>55</v>
      </c>
      <c r="AH122" t="s">
        <v>55</v>
      </c>
      <c r="AI122" t="s">
        <v>55</v>
      </c>
      <c r="AJ122" t="s">
        <v>57</v>
      </c>
      <c r="AK122" t="s">
        <v>58</v>
      </c>
      <c r="AL122" t="s">
        <v>59</v>
      </c>
      <c r="AM122" t="s">
        <v>60</v>
      </c>
      <c r="AN122">
        <v>6</v>
      </c>
      <c r="AO122">
        <v>34</v>
      </c>
      <c r="AP122">
        <v>5</v>
      </c>
      <c r="AQ122">
        <v>9</v>
      </c>
      <c r="AR122" t="s">
        <v>55</v>
      </c>
      <c r="AS122" t="s">
        <v>61</v>
      </c>
      <c r="AT122" t="s">
        <v>55</v>
      </c>
      <c r="AU122" t="s">
        <v>62</v>
      </c>
      <c r="AV122" t="s">
        <v>63</v>
      </c>
      <c r="AW122" t="s">
        <v>60</v>
      </c>
      <c r="AX122" t="s">
        <v>60</v>
      </c>
      <c r="AY122">
        <v>3</v>
      </c>
      <c r="AZ122" t="s">
        <v>64</v>
      </c>
      <c r="BA122">
        <v>8</v>
      </c>
      <c r="BB122">
        <v>8</v>
      </c>
      <c r="BC122" t="s">
        <v>82</v>
      </c>
    </row>
    <row r="123" spans="1:55" ht="16" x14ac:dyDescent="0.2">
      <c r="A123" s="4" t="s">
        <v>7</v>
      </c>
      <c r="B123" s="4" t="s">
        <v>8</v>
      </c>
      <c r="C123" s="10">
        <v>13</v>
      </c>
      <c r="D123" s="11">
        <v>6</v>
      </c>
      <c r="E123" s="11">
        <v>14</v>
      </c>
      <c r="F123" s="11">
        <v>13</v>
      </c>
      <c r="G123" s="3">
        <v>29.5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0.25</v>
      </c>
      <c r="R123">
        <v>1</v>
      </c>
      <c r="S123">
        <v>1</v>
      </c>
      <c r="T123">
        <f t="shared" si="16"/>
        <v>13</v>
      </c>
      <c r="U123">
        <f t="shared" si="17"/>
        <v>6</v>
      </c>
      <c r="V123">
        <f t="shared" si="18"/>
        <v>14</v>
      </c>
      <c r="W123">
        <f t="shared" si="19"/>
        <v>13</v>
      </c>
      <c r="X123">
        <f t="shared" si="20"/>
        <v>29.5</v>
      </c>
      <c r="Y123" t="str">
        <f>+VLOOKUP(A123,'[1]Tárgy kurzusai'!$A:$C,3,0)</f>
        <v>P:09:50-11:20(E.3.338)</v>
      </c>
      <c r="Z123">
        <f>+VLOOKUP(A123,'[1]Tárgy kurzusai'!$A:$F,6,0)</f>
        <v>3</v>
      </c>
      <c r="AA123" t="s">
        <v>49</v>
      </c>
      <c r="AB123" t="s">
        <v>71</v>
      </c>
      <c r="AC123" t="s">
        <v>74</v>
      </c>
      <c r="AD123" t="s">
        <v>60</v>
      </c>
      <c r="AE123" t="s">
        <v>69</v>
      </c>
      <c r="AF123" t="s">
        <v>69</v>
      </c>
      <c r="AG123" t="s">
        <v>55</v>
      </c>
      <c r="AH123" t="s">
        <v>55</v>
      </c>
      <c r="AI123" t="s">
        <v>55</v>
      </c>
      <c r="AJ123" t="s">
        <v>57</v>
      </c>
      <c r="AK123" t="s">
        <v>58</v>
      </c>
      <c r="AL123" t="s">
        <v>59</v>
      </c>
      <c r="AM123" t="s">
        <v>60</v>
      </c>
      <c r="AN123">
        <v>7</v>
      </c>
      <c r="AO123">
        <v>34</v>
      </c>
      <c r="AP123">
        <v>5</v>
      </c>
      <c r="AQ123">
        <v>6</v>
      </c>
      <c r="AR123" t="s">
        <v>55</v>
      </c>
      <c r="AS123" t="s">
        <v>61</v>
      </c>
      <c r="AT123" t="s">
        <v>56</v>
      </c>
      <c r="AU123" t="s">
        <v>62</v>
      </c>
      <c r="AV123" t="s">
        <v>63</v>
      </c>
      <c r="AW123" t="s">
        <v>60</v>
      </c>
      <c r="AX123" t="s">
        <v>60</v>
      </c>
      <c r="AY123">
        <v>5</v>
      </c>
      <c r="AZ123" t="s">
        <v>64</v>
      </c>
      <c r="BA123">
        <v>6</v>
      </c>
      <c r="BB123">
        <v>8</v>
      </c>
      <c r="BC123" t="s">
        <v>82</v>
      </c>
    </row>
    <row r="124" spans="1:55" ht="16" x14ac:dyDescent="0.2">
      <c r="A124" s="4" t="s">
        <v>7</v>
      </c>
      <c r="B124" s="4" t="s">
        <v>8</v>
      </c>
      <c r="C124" s="10">
        <v>10.5</v>
      </c>
      <c r="D124" s="11">
        <v>15</v>
      </c>
      <c r="E124" s="11">
        <v>14</v>
      </c>
      <c r="F124" s="11">
        <v>12</v>
      </c>
      <c r="G124" s="3">
        <v>26.5</v>
      </c>
      <c r="H124">
        <v>1</v>
      </c>
      <c r="I124">
        <v>0.75</v>
      </c>
      <c r="J124">
        <v>1</v>
      </c>
      <c r="K124">
        <v>0</v>
      </c>
      <c r="L124">
        <v>1</v>
      </c>
      <c r="M124">
        <v>1</v>
      </c>
      <c r="N124">
        <v>0.75</v>
      </c>
      <c r="O124">
        <v>0.5</v>
      </c>
      <c r="P124">
        <v>1</v>
      </c>
      <c r="Q124">
        <v>1</v>
      </c>
      <c r="R124">
        <v>1</v>
      </c>
      <c r="S124">
        <v>1</v>
      </c>
      <c r="T124">
        <f t="shared" si="16"/>
        <v>10.5</v>
      </c>
      <c r="U124">
        <f t="shared" si="17"/>
        <v>15</v>
      </c>
      <c r="V124">
        <f t="shared" si="18"/>
        <v>14</v>
      </c>
      <c r="W124">
        <f t="shared" si="19"/>
        <v>12</v>
      </c>
      <c r="X124">
        <f t="shared" si="20"/>
        <v>26.5</v>
      </c>
      <c r="Y124" t="str">
        <f>+VLOOKUP(A124,'[1]Tárgy kurzusai'!$A:$C,3,0)</f>
        <v>P:09:50-11:20(E.3.338)</v>
      </c>
      <c r="Z124">
        <f>+VLOOKUP(A124,'[1]Tárgy kurzusai'!$A:$F,6,0)</f>
        <v>3</v>
      </c>
      <c r="AA124" t="s">
        <v>66</v>
      </c>
      <c r="AB124" t="s">
        <v>71</v>
      </c>
      <c r="AC124" t="s">
        <v>51</v>
      </c>
      <c r="AD124" t="s">
        <v>68</v>
      </c>
      <c r="AE124" t="s">
        <v>69</v>
      </c>
      <c r="AF124" t="s">
        <v>53</v>
      </c>
      <c r="AG124" t="s">
        <v>55</v>
      </c>
      <c r="AH124" t="s">
        <v>55</v>
      </c>
      <c r="AI124" t="s">
        <v>55</v>
      </c>
      <c r="AJ124" t="s">
        <v>57</v>
      </c>
      <c r="AK124" t="s">
        <v>79</v>
      </c>
      <c r="AL124" t="s">
        <v>59</v>
      </c>
      <c r="AM124" t="s">
        <v>60</v>
      </c>
      <c r="AN124">
        <v>7</v>
      </c>
      <c r="AO124">
        <v>33</v>
      </c>
      <c r="AP124">
        <v>6</v>
      </c>
      <c r="AQ124">
        <v>11</v>
      </c>
      <c r="AR124" t="s">
        <v>55</v>
      </c>
      <c r="AS124" t="s">
        <v>61</v>
      </c>
      <c r="AT124" t="s">
        <v>56</v>
      </c>
      <c r="AU124" t="s">
        <v>62</v>
      </c>
      <c r="AV124" t="s">
        <v>63</v>
      </c>
      <c r="AW124" t="s">
        <v>60</v>
      </c>
      <c r="AX124" t="s">
        <v>60</v>
      </c>
      <c r="AY124">
        <v>5</v>
      </c>
      <c r="AZ124" t="s">
        <v>78</v>
      </c>
      <c r="BA124">
        <v>4</v>
      </c>
      <c r="BB124">
        <v>7</v>
      </c>
      <c r="BC124" t="s">
        <v>82</v>
      </c>
    </row>
    <row r="125" spans="1:55" ht="16" x14ac:dyDescent="0.2">
      <c r="A125" s="4" t="s">
        <v>7</v>
      </c>
      <c r="B125" s="4" t="s">
        <v>8</v>
      </c>
      <c r="C125" s="10">
        <v>13</v>
      </c>
      <c r="D125" s="11">
        <v>14.5</v>
      </c>
      <c r="E125" s="11">
        <v>13</v>
      </c>
      <c r="F125" s="11">
        <v>11.5</v>
      </c>
      <c r="G125" s="3">
        <v>34</v>
      </c>
      <c r="H125">
        <v>1</v>
      </c>
      <c r="I125">
        <v>1</v>
      </c>
      <c r="J125">
        <v>1</v>
      </c>
      <c r="K125">
        <v>1</v>
      </c>
      <c r="L125">
        <v>0.5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f t="shared" si="16"/>
        <v>13</v>
      </c>
      <c r="U125">
        <f t="shared" si="17"/>
        <v>14.5</v>
      </c>
      <c r="V125">
        <f t="shared" si="18"/>
        <v>13</v>
      </c>
      <c r="W125">
        <f t="shared" si="19"/>
        <v>11.5</v>
      </c>
      <c r="X125">
        <f t="shared" si="20"/>
        <v>34</v>
      </c>
      <c r="Y125" t="str">
        <f>+VLOOKUP(A125,'[1]Tárgy kurzusai'!$A:$C,3,0)</f>
        <v>P:09:50-11:20(E.3.338)</v>
      </c>
      <c r="Z125">
        <f>+VLOOKUP(A125,'[1]Tárgy kurzusai'!$A:$F,6,0)</f>
        <v>3</v>
      </c>
      <c r="AA125" t="s">
        <v>66</v>
      </c>
      <c r="AB125" t="s">
        <v>71</v>
      </c>
      <c r="AC125" t="s">
        <v>72</v>
      </c>
      <c r="AD125" t="s">
        <v>52</v>
      </c>
      <c r="AE125" t="s">
        <v>69</v>
      </c>
      <c r="AF125" t="s">
        <v>69</v>
      </c>
      <c r="AG125" t="s">
        <v>55</v>
      </c>
      <c r="AH125" t="s">
        <v>55</v>
      </c>
      <c r="AI125" t="s">
        <v>55</v>
      </c>
      <c r="AJ125" t="s">
        <v>57</v>
      </c>
      <c r="AK125" t="s">
        <v>58</v>
      </c>
      <c r="AL125" t="s">
        <v>59</v>
      </c>
      <c r="AM125" t="s">
        <v>60</v>
      </c>
      <c r="AN125">
        <v>6</v>
      </c>
      <c r="AO125">
        <v>30</v>
      </c>
      <c r="AP125">
        <v>5</v>
      </c>
      <c r="AQ125">
        <v>12</v>
      </c>
      <c r="AR125" t="s">
        <v>55</v>
      </c>
      <c r="AS125" t="s">
        <v>61</v>
      </c>
      <c r="AT125" t="s">
        <v>56</v>
      </c>
      <c r="AU125" t="s">
        <v>62</v>
      </c>
      <c r="AV125" t="s">
        <v>63</v>
      </c>
      <c r="AW125" t="s">
        <v>60</v>
      </c>
      <c r="AX125" t="s">
        <v>60</v>
      </c>
      <c r="AY125">
        <v>3</v>
      </c>
      <c r="AZ125" t="s">
        <v>64</v>
      </c>
      <c r="BA125">
        <v>3</v>
      </c>
      <c r="BB125">
        <v>5</v>
      </c>
      <c r="BC125" t="s">
        <v>65</v>
      </c>
    </row>
    <row r="126" spans="1:55" ht="16" x14ac:dyDescent="0.2">
      <c r="A126" s="13" t="s">
        <v>9</v>
      </c>
      <c r="B126" s="13" t="s">
        <v>8</v>
      </c>
      <c r="C126" s="11">
        <v>9.5</v>
      </c>
      <c r="D126" s="11">
        <v>12</v>
      </c>
      <c r="E126" s="11">
        <v>14.5</v>
      </c>
      <c r="F126" s="11">
        <v>14</v>
      </c>
      <c r="G126" s="3">
        <v>32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0.5</v>
      </c>
      <c r="R126">
        <v>1</v>
      </c>
      <c r="S126">
        <v>1</v>
      </c>
      <c r="T126">
        <f t="shared" si="16"/>
        <v>9.5</v>
      </c>
      <c r="U126">
        <f t="shared" si="17"/>
        <v>12</v>
      </c>
      <c r="V126">
        <f t="shared" si="18"/>
        <v>14.5</v>
      </c>
      <c r="W126">
        <f t="shared" si="19"/>
        <v>14</v>
      </c>
      <c r="X126">
        <f t="shared" si="20"/>
        <v>32</v>
      </c>
      <c r="Y126" t="str">
        <f>+VLOOKUP(A126,'[1]Tárgy kurzusai'!$A:$C,3,0)</f>
        <v>P:11:40-13:10(E.3.338)</v>
      </c>
      <c r="Z126">
        <f>+VLOOKUP(A126,'[1]Tárgy kurzusai'!$A:$F,6,0)</f>
        <v>3</v>
      </c>
      <c r="AA126" t="s">
        <v>49</v>
      </c>
      <c r="AB126" t="s">
        <v>80</v>
      </c>
      <c r="AC126" t="s">
        <v>51</v>
      </c>
      <c r="AD126" t="s">
        <v>90</v>
      </c>
      <c r="AE126" t="s">
        <v>69</v>
      </c>
      <c r="AF126" t="s">
        <v>53</v>
      </c>
      <c r="AG126" t="s">
        <v>56</v>
      </c>
      <c r="AH126" t="s">
        <v>55</v>
      </c>
      <c r="AI126" t="s">
        <v>55</v>
      </c>
      <c r="AJ126" t="s">
        <v>57</v>
      </c>
      <c r="AK126" t="s">
        <v>58</v>
      </c>
      <c r="AL126" t="s">
        <v>59</v>
      </c>
      <c r="AM126" t="s">
        <v>60</v>
      </c>
      <c r="AN126">
        <v>7</v>
      </c>
      <c r="AO126">
        <v>33</v>
      </c>
      <c r="AP126">
        <v>6</v>
      </c>
      <c r="AQ126">
        <v>14</v>
      </c>
      <c r="AR126" t="s">
        <v>55</v>
      </c>
      <c r="AS126" t="s">
        <v>55</v>
      </c>
      <c r="AT126" t="s">
        <v>56</v>
      </c>
      <c r="AU126" t="s">
        <v>62</v>
      </c>
      <c r="AV126" t="s">
        <v>63</v>
      </c>
      <c r="AW126" t="s">
        <v>60</v>
      </c>
      <c r="AX126" t="s">
        <v>60</v>
      </c>
      <c r="AY126">
        <v>4</v>
      </c>
      <c r="AZ126" t="s">
        <v>64</v>
      </c>
      <c r="BA126">
        <v>4</v>
      </c>
      <c r="BB126">
        <v>1</v>
      </c>
      <c r="BC126" t="s">
        <v>65</v>
      </c>
    </row>
    <row r="127" spans="1:55" ht="16" x14ac:dyDescent="0.2">
      <c r="A127" s="13" t="s">
        <v>9</v>
      </c>
      <c r="B127" s="13" t="s">
        <v>8</v>
      </c>
      <c r="C127" s="11">
        <v>6</v>
      </c>
      <c r="D127" s="11">
        <v>2</v>
      </c>
      <c r="E127" s="9">
        <v>0</v>
      </c>
      <c r="F127" s="9">
        <v>0</v>
      </c>
      <c r="G127" s="3" t="e">
        <v>#N/A</v>
      </c>
      <c r="H127">
        <v>0.25</v>
      </c>
      <c r="I127">
        <v>0</v>
      </c>
      <c r="J127">
        <v>0.5</v>
      </c>
      <c r="K127">
        <v>1</v>
      </c>
      <c r="L127">
        <v>0</v>
      </c>
      <c r="M127">
        <v>0</v>
      </c>
      <c r="N127">
        <v>0.5</v>
      </c>
      <c r="O127">
        <v>0.5</v>
      </c>
      <c r="P127">
        <v>1</v>
      </c>
      <c r="Q127">
        <v>0</v>
      </c>
      <c r="R127">
        <v>0</v>
      </c>
      <c r="S127">
        <v>0</v>
      </c>
      <c r="T127">
        <f t="shared" si="16"/>
        <v>6</v>
      </c>
      <c r="U127">
        <f t="shared" si="17"/>
        <v>2</v>
      </c>
      <c r="V127">
        <f t="shared" si="18"/>
        <v>0</v>
      </c>
      <c r="W127">
        <f t="shared" si="19"/>
        <v>0</v>
      </c>
      <c r="X127" t="e">
        <f t="shared" si="20"/>
        <v>#N/A</v>
      </c>
      <c r="Y127" t="str">
        <f>+VLOOKUP(A127,'[1]Tárgy kurzusai'!$A:$C,3,0)</f>
        <v>P:11:40-13:10(E.3.338)</v>
      </c>
      <c r="Z127">
        <f>+VLOOKUP(A127,'[1]Tárgy kurzusai'!$A:$F,6,0)</f>
        <v>3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</row>
    <row r="128" spans="1:55" ht="16" x14ac:dyDescent="0.2">
      <c r="A128" s="13" t="s">
        <v>9</v>
      </c>
      <c r="B128" s="13" t="s">
        <v>8</v>
      </c>
      <c r="C128" s="11">
        <v>14</v>
      </c>
      <c r="D128" s="11">
        <v>8.5</v>
      </c>
      <c r="E128" s="11">
        <v>8</v>
      </c>
      <c r="F128" s="11">
        <v>6</v>
      </c>
      <c r="G128" s="3">
        <v>22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f t="shared" si="16"/>
        <v>14</v>
      </c>
      <c r="U128">
        <f t="shared" si="17"/>
        <v>8.5</v>
      </c>
      <c r="V128">
        <f t="shared" si="18"/>
        <v>8</v>
      </c>
      <c r="W128">
        <f t="shared" si="19"/>
        <v>6</v>
      </c>
      <c r="X128">
        <f t="shared" si="20"/>
        <v>22</v>
      </c>
      <c r="Y128" t="str">
        <f>+VLOOKUP(A128,'[1]Tárgy kurzusai'!$A:$C,3,0)</f>
        <v>P:11:40-13:10(E.3.338)</v>
      </c>
      <c r="Z128">
        <f>+VLOOKUP(A128,'[1]Tárgy kurzusai'!$A:$F,6,0)</f>
        <v>3</v>
      </c>
      <c r="AA128" t="s">
        <v>66</v>
      </c>
      <c r="AB128" t="s">
        <v>71</v>
      </c>
      <c r="AC128" t="s">
        <v>51</v>
      </c>
      <c r="AD128" t="s">
        <v>87</v>
      </c>
      <c r="AE128" t="s">
        <v>53</v>
      </c>
      <c r="AF128" t="s">
        <v>69</v>
      </c>
      <c r="AG128" t="s">
        <v>55</v>
      </c>
      <c r="AH128" t="s">
        <v>55</v>
      </c>
      <c r="AI128" t="s">
        <v>55</v>
      </c>
      <c r="AJ128" t="s">
        <v>57</v>
      </c>
      <c r="AK128" t="s">
        <v>79</v>
      </c>
      <c r="AL128" t="s">
        <v>59</v>
      </c>
      <c r="AM128" t="s">
        <v>60</v>
      </c>
      <c r="AN128">
        <v>7</v>
      </c>
      <c r="AO128">
        <v>33</v>
      </c>
      <c r="AP128">
        <v>6</v>
      </c>
      <c r="AQ128">
        <v>4</v>
      </c>
      <c r="AR128" t="s">
        <v>55</v>
      </c>
      <c r="AS128" t="s">
        <v>55</v>
      </c>
      <c r="AT128" t="s">
        <v>56</v>
      </c>
      <c r="AU128" t="s">
        <v>62</v>
      </c>
      <c r="AV128" t="s">
        <v>63</v>
      </c>
      <c r="AW128" t="s">
        <v>60</v>
      </c>
      <c r="AX128" t="s">
        <v>60</v>
      </c>
      <c r="AY128">
        <v>3</v>
      </c>
      <c r="AZ128" t="s">
        <v>78</v>
      </c>
      <c r="BA128">
        <v>5</v>
      </c>
      <c r="BB128">
        <v>3</v>
      </c>
      <c r="BC128" t="s">
        <v>76</v>
      </c>
    </row>
    <row r="129" spans="1:55" ht="16" x14ac:dyDescent="0.2">
      <c r="A129" s="13" t="s">
        <v>9</v>
      </c>
      <c r="B129" s="13" t="s">
        <v>8</v>
      </c>
      <c r="C129" s="11">
        <v>15</v>
      </c>
      <c r="D129" s="11">
        <v>16</v>
      </c>
      <c r="E129" s="11">
        <v>14.5</v>
      </c>
      <c r="F129" s="9">
        <v>0</v>
      </c>
      <c r="G129" s="3">
        <v>29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0.5</v>
      </c>
      <c r="R129">
        <v>1</v>
      </c>
      <c r="S129">
        <v>1</v>
      </c>
      <c r="T129">
        <f t="shared" si="16"/>
        <v>15</v>
      </c>
      <c r="U129">
        <f t="shared" si="17"/>
        <v>16</v>
      </c>
      <c r="V129">
        <f t="shared" si="18"/>
        <v>14.5</v>
      </c>
      <c r="W129">
        <f t="shared" si="19"/>
        <v>0</v>
      </c>
      <c r="X129">
        <f t="shared" si="20"/>
        <v>29</v>
      </c>
      <c r="Y129" t="str">
        <f>+VLOOKUP(A129,'[1]Tárgy kurzusai'!$A:$C,3,0)</f>
        <v>P:11:40-13:10(E.3.338)</v>
      </c>
      <c r="Z129">
        <f>+VLOOKUP(A129,'[1]Tárgy kurzusai'!$A:$F,6,0)</f>
        <v>3</v>
      </c>
      <c r="AA129" t="s">
        <v>49</v>
      </c>
      <c r="AB129" t="s">
        <v>71</v>
      </c>
      <c r="AC129" t="s">
        <v>74</v>
      </c>
      <c r="AD129" t="s">
        <v>60</v>
      </c>
      <c r="AE129" t="s">
        <v>69</v>
      </c>
      <c r="AF129" t="s">
        <v>69</v>
      </c>
      <c r="AG129" t="s">
        <v>55</v>
      </c>
      <c r="AH129" t="s">
        <v>55</v>
      </c>
      <c r="AI129" t="s">
        <v>55</v>
      </c>
      <c r="AJ129" t="s">
        <v>57</v>
      </c>
      <c r="AK129" t="s">
        <v>79</v>
      </c>
      <c r="AL129" t="s">
        <v>59</v>
      </c>
      <c r="AM129" t="s">
        <v>60</v>
      </c>
      <c r="AN129">
        <v>6</v>
      </c>
      <c r="AO129">
        <v>33</v>
      </c>
      <c r="AP129">
        <v>5</v>
      </c>
      <c r="AQ129">
        <v>11</v>
      </c>
      <c r="AR129" t="s">
        <v>55</v>
      </c>
      <c r="AS129" t="s">
        <v>55</v>
      </c>
      <c r="AT129" t="s">
        <v>56</v>
      </c>
      <c r="AU129" t="s">
        <v>62</v>
      </c>
      <c r="AV129" t="s">
        <v>63</v>
      </c>
      <c r="AW129" t="s">
        <v>60</v>
      </c>
      <c r="AX129" t="s">
        <v>60</v>
      </c>
      <c r="AY129">
        <v>5</v>
      </c>
      <c r="AZ129" t="s">
        <v>64</v>
      </c>
      <c r="BA129">
        <v>9</v>
      </c>
      <c r="BB129">
        <v>10</v>
      </c>
      <c r="BC129" t="s">
        <v>70</v>
      </c>
    </row>
    <row r="130" spans="1:55" ht="16" x14ac:dyDescent="0.2">
      <c r="A130" s="13" t="s">
        <v>9</v>
      </c>
      <c r="B130" s="13" t="s">
        <v>8</v>
      </c>
      <c r="C130" s="11">
        <v>13</v>
      </c>
      <c r="D130" s="11">
        <v>10</v>
      </c>
      <c r="E130" s="11">
        <v>14</v>
      </c>
      <c r="F130" s="9">
        <v>0</v>
      </c>
      <c r="G130" s="3">
        <v>19</v>
      </c>
      <c r="H130">
        <v>1</v>
      </c>
      <c r="I130">
        <v>1</v>
      </c>
      <c r="J130">
        <v>1</v>
      </c>
      <c r="K130">
        <v>1</v>
      </c>
      <c r="L130">
        <v>0.5</v>
      </c>
      <c r="M130">
        <v>1</v>
      </c>
      <c r="N130">
        <v>1</v>
      </c>
      <c r="O130">
        <v>1</v>
      </c>
      <c r="P130">
        <v>1</v>
      </c>
      <c r="Q130">
        <v>0.5</v>
      </c>
      <c r="R130">
        <v>1</v>
      </c>
      <c r="S130">
        <v>1</v>
      </c>
      <c r="T130">
        <f t="shared" si="16"/>
        <v>13</v>
      </c>
      <c r="U130">
        <f t="shared" si="17"/>
        <v>10</v>
      </c>
      <c r="V130">
        <f t="shared" si="18"/>
        <v>14</v>
      </c>
      <c r="W130">
        <f t="shared" si="19"/>
        <v>0</v>
      </c>
      <c r="X130">
        <f t="shared" si="20"/>
        <v>19</v>
      </c>
      <c r="Y130" t="str">
        <f>+VLOOKUP(A130,'[1]Tárgy kurzusai'!$A:$C,3,0)</f>
        <v>P:11:40-13:10(E.3.338)</v>
      </c>
      <c r="Z130">
        <f>+VLOOKUP(A130,'[1]Tárgy kurzusai'!$A:$F,6,0)</f>
        <v>3</v>
      </c>
      <c r="AA130" t="s">
        <v>49</v>
      </c>
      <c r="AB130" t="s">
        <v>71</v>
      </c>
      <c r="AC130" t="s">
        <v>74</v>
      </c>
      <c r="AD130" t="s">
        <v>60</v>
      </c>
      <c r="AE130" t="s">
        <v>69</v>
      </c>
      <c r="AF130" t="s">
        <v>69</v>
      </c>
      <c r="AG130" t="s">
        <v>55</v>
      </c>
      <c r="AH130" t="s">
        <v>55</v>
      </c>
      <c r="AI130" t="s">
        <v>55</v>
      </c>
      <c r="AJ130" t="s">
        <v>57</v>
      </c>
      <c r="AK130" t="s">
        <v>58</v>
      </c>
      <c r="AL130" t="s">
        <v>59</v>
      </c>
      <c r="AM130" t="s">
        <v>60</v>
      </c>
      <c r="AN130">
        <v>7</v>
      </c>
      <c r="AO130">
        <v>37</v>
      </c>
      <c r="AP130">
        <v>5</v>
      </c>
      <c r="AQ130">
        <v>13</v>
      </c>
      <c r="AR130" t="s">
        <v>55</v>
      </c>
      <c r="AS130" t="s">
        <v>61</v>
      </c>
      <c r="AT130" t="s">
        <v>56</v>
      </c>
      <c r="AU130" t="s">
        <v>62</v>
      </c>
      <c r="AV130" t="s">
        <v>63</v>
      </c>
      <c r="AW130" t="s">
        <v>60</v>
      </c>
      <c r="AX130" t="s">
        <v>60</v>
      </c>
      <c r="AY130">
        <v>3</v>
      </c>
      <c r="AZ130" t="s">
        <v>64</v>
      </c>
      <c r="BA130">
        <v>6</v>
      </c>
      <c r="BB130">
        <v>8</v>
      </c>
      <c r="BC130" t="s">
        <v>70</v>
      </c>
    </row>
    <row r="131" spans="1:55" ht="16" x14ac:dyDescent="0.2">
      <c r="A131" s="13" t="s">
        <v>9</v>
      </c>
      <c r="B131" s="13" t="s">
        <v>8</v>
      </c>
      <c r="C131" s="11">
        <v>12</v>
      </c>
      <c r="D131" s="11">
        <v>13</v>
      </c>
      <c r="E131" s="11">
        <v>8</v>
      </c>
      <c r="F131" s="11">
        <v>16</v>
      </c>
      <c r="G131" s="3">
        <v>35</v>
      </c>
      <c r="H131">
        <v>1</v>
      </c>
      <c r="I131">
        <v>1</v>
      </c>
      <c r="J131">
        <v>1</v>
      </c>
      <c r="K131">
        <v>1</v>
      </c>
      <c r="L131">
        <v>0.5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f t="shared" si="16"/>
        <v>12</v>
      </c>
      <c r="U131">
        <f t="shared" si="17"/>
        <v>13</v>
      </c>
      <c r="V131">
        <f t="shared" si="18"/>
        <v>8</v>
      </c>
      <c r="W131">
        <f t="shared" si="19"/>
        <v>16</v>
      </c>
      <c r="X131">
        <f t="shared" si="20"/>
        <v>35</v>
      </c>
      <c r="Y131" t="str">
        <f>+VLOOKUP(A131,'[1]Tárgy kurzusai'!$A:$C,3,0)</f>
        <v>P:11:40-13:10(E.3.338)</v>
      </c>
      <c r="Z131">
        <f>+VLOOKUP(A131,'[1]Tárgy kurzusai'!$A:$F,6,0)</f>
        <v>3</v>
      </c>
      <c r="AA131" t="s">
        <v>66</v>
      </c>
      <c r="AB131" t="s">
        <v>71</v>
      </c>
      <c r="AC131" t="s">
        <v>51</v>
      </c>
      <c r="AD131" t="s">
        <v>87</v>
      </c>
      <c r="AE131" t="s">
        <v>69</v>
      </c>
      <c r="AF131" t="s">
        <v>69</v>
      </c>
      <c r="AG131" t="s">
        <v>55</v>
      </c>
      <c r="AH131" t="s">
        <v>55</v>
      </c>
      <c r="AI131" t="s">
        <v>56</v>
      </c>
      <c r="AJ131" t="s">
        <v>57</v>
      </c>
      <c r="AK131" t="s">
        <v>58</v>
      </c>
      <c r="AL131" t="s">
        <v>59</v>
      </c>
      <c r="AM131" t="s">
        <v>60</v>
      </c>
      <c r="AN131">
        <v>7</v>
      </c>
      <c r="AO131">
        <v>33</v>
      </c>
      <c r="AP131">
        <v>5</v>
      </c>
      <c r="AQ131">
        <v>13</v>
      </c>
      <c r="AR131" t="s">
        <v>55</v>
      </c>
      <c r="AS131" t="s">
        <v>55</v>
      </c>
      <c r="AT131" t="s">
        <v>56</v>
      </c>
      <c r="AU131" t="s">
        <v>62</v>
      </c>
      <c r="AV131" t="s">
        <v>63</v>
      </c>
      <c r="AW131" t="s">
        <v>60</v>
      </c>
      <c r="AX131" t="s">
        <v>60</v>
      </c>
      <c r="AY131">
        <v>5</v>
      </c>
      <c r="AZ131" t="s">
        <v>64</v>
      </c>
      <c r="BA131">
        <v>6</v>
      </c>
      <c r="BB131">
        <v>7</v>
      </c>
      <c r="BC131" t="s">
        <v>65</v>
      </c>
    </row>
    <row r="132" spans="1:55" ht="16" x14ac:dyDescent="0.2">
      <c r="A132" s="13" t="s">
        <v>9</v>
      </c>
      <c r="B132" s="13" t="s">
        <v>8</v>
      </c>
      <c r="C132" s="11">
        <v>13</v>
      </c>
      <c r="D132" s="11">
        <v>10.5</v>
      </c>
      <c r="E132" s="11">
        <v>13</v>
      </c>
      <c r="F132" s="9">
        <v>0</v>
      </c>
      <c r="G132" s="3" t="e">
        <v>#N/A</v>
      </c>
      <c r="H132">
        <v>1</v>
      </c>
      <c r="I132">
        <v>0.75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0.25</v>
      </c>
      <c r="P132">
        <v>1</v>
      </c>
      <c r="Q132">
        <v>0.75</v>
      </c>
      <c r="R132">
        <v>0.75</v>
      </c>
      <c r="S132">
        <v>1</v>
      </c>
      <c r="T132">
        <f t="shared" si="16"/>
        <v>13</v>
      </c>
      <c r="U132">
        <f t="shared" si="17"/>
        <v>10.5</v>
      </c>
      <c r="V132">
        <f t="shared" si="18"/>
        <v>13</v>
      </c>
      <c r="W132">
        <f t="shared" si="19"/>
        <v>0</v>
      </c>
      <c r="X132" t="e">
        <f t="shared" si="20"/>
        <v>#N/A</v>
      </c>
      <c r="Y132" t="str">
        <f>+VLOOKUP(A132,'[1]Tárgy kurzusai'!$A:$C,3,0)</f>
        <v>P:11:40-13:10(E.3.338)</v>
      </c>
      <c r="Z132">
        <f>+VLOOKUP(A132,'[1]Tárgy kurzusai'!$A:$F,6,0)</f>
        <v>3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</row>
    <row r="133" spans="1:55" ht="16" x14ac:dyDescent="0.2">
      <c r="A133" s="13" t="s">
        <v>9</v>
      </c>
      <c r="B133" s="13" t="s">
        <v>8</v>
      </c>
      <c r="C133" s="11">
        <v>0.5</v>
      </c>
      <c r="D133" s="11">
        <v>5.5</v>
      </c>
      <c r="E133" s="11">
        <v>11</v>
      </c>
      <c r="F133" s="11">
        <v>10</v>
      </c>
      <c r="G133" s="3">
        <v>22</v>
      </c>
      <c r="H133">
        <v>1</v>
      </c>
      <c r="I133">
        <v>1</v>
      </c>
      <c r="J133">
        <v>0.75</v>
      </c>
      <c r="K133">
        <v>1</v>
      </c>
      <c r="L133">
        <v>1</v>
      </c>
      <c r="M133">
        <v>0.75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1</v>
      </c>
      <c r="T133">
        <f t="shared" si="16"/>
        <v>0.5</v>
      </c>
      <c r="U133">
        <f t="shared" si="17"/>
        <v>5.5</v>
      </c>
      <c r="V133">
        <f t="shared" si="18"/>
        <v>11</v>
      </c>
      <c r="W133">
        <f t="shared" si="19"/>
        <v>10</v>
      </c>
      <c r="X133">
        <f t="shared" si="20"/>
        <v>22</v>
      </c>
      <c r="Y133" t="str">
        <f>+VLOOKUP(A133,'[1]Tárgy kurzusai'!$A:$C,3,0)</f>
        <v>P:11:40-13:10(E.3.338)</v>
      </c>
      <c r="Z133">
        <f>+VLOOKUP(A133,'[1]Tárgy kurzusai'!$A:$F,6,0)</f>
        <v>3</v>
      </c>
      <c r="AA133" t="s">
        <v>49</v>
      </c>
      <c r="AB133" t="s">
        <v>50</v>
      </c>
      <c r="AC133" t="s">
        <v>51</v>
      </c>
      <c r="AD133" t="s">
        <v>93</v>
      </c>
      <c r="AE133" t="s">
        <v>69</v>
      </c>
      <c r="AF133" t="s">
        <v>69</v>
      </c>
      <c r="AG133" t="s">
        <v>55</v>
      </c>
      <c r="AH133" t="s">
        <v>56</v>
      </c>
      <c r="AI133" t="s">
        <v>56</v>
      </c>
      <c r="AJ133" t="s">
        <v>60</v>
      </c>
      <c r="AK133" t="s">
        <v>79</v>
      </c>
      <c r="AL133" t="s">
        <v>59</v>
      </c>
      <c r="AM133" t="s">
        <v>60</v>
      </c>
      <c r="AN133">
        <v>8</v>
      </c>
      <c r="AO133">
        <v>30</v>
      </c>
      <c r="AP133">
        <v>5</v>
      </c>
      <c r="AQ133">
        <v>6</v>
      </c>
      <c r="AR133" t="s">
        <v>106</v>
      </c>
      <c r="AS133" t="s">
        <v>61</v>
      </c>
      <c r="AT133" t="s">
        <v>55</v>
      </c>
      <c r="AU133" t="s">
        <v>62</v>
      </c>
      <c r="AV133" t="s">
        <v>63</v>
      </c>
      <c r="AW133" t="s">
        <v>60</v>
      </c>
      <c r="AX133" t="s">
        <v>60</v>
      </c>
      <c r="AY133">
        <v>4</v>
      </c>
      <c r="AZ133" t="s">
        <v>78</v>
      </c>
      <c r="BA133">
        <v>6</v>
      </c>
      <c r="BB133">
        <v>9</v>
      </c>
      <c r="BC133" t="s">
        <v>70</v>
      </c>
    </row>
    <row r="134" spans="1:55" ht="16" x14ac:dyDescent="0.2">
      <c r="A134" s="13" t="s">
        <v>9</v>
      </c>
      <c r="B134" s="13" t="s">
        <v>8</v>
      </c>
      <c r="C134" s="11">
        <v>5</v>
      </c>
      <c r="D134" s="11">
        <v>9</v>
      </c>
      <c r="E134" s="11">
        <v>14.5</v>
      </c>
      <c r="F134" s="11">
        <v>12</v>
      </c>
      <c r="G134" s="3">
        <v>26.5</v>
      </c>
      <c r="H134">
        <v>1</v>
      </c>
      <c r="I134">
        <v>1</v>
      </c>
      <c r="J134">
        <v>1</v>
      </c>
      <c r="K134">
        <v>1</v>
      </c>
      <c r="L134">
        <v>0.5</v>
      </c>
      <c r="M134">
        <v>1</v>
      </c>
      <c r="N134">
        <v>1</v>
      </c>
      <c r="O134">
        <v>0</v>
      </c>
      <c r="P134">
        <v>1</v>
      </c>
      <c r="Q134">
        <v>0.5</v>
      </c>
      <c r="R134">
        <v>1</v>
      </c>
      <c r="S134">
        <v>1</v>
      </c>
      <c r="T134">
        <f t="shared" si="16"/>
        <v>5</v>
      </c>
      <c r="U134">
        <f t="shared" si="17"/>
        <v>9</v>
      </c>
      <c r="V134">
        <f t="shared" si="18"/>
        <v>14.5</v>
      </c>
      <c r="W134">
        <f t="shared" si="19"/>
        <v>12</v>
      </c>
      <c r="X134">
        <f t="shared" si="20"/>
        <v>26.5</v>
      </c>
      <c r="Y134" t="str">
        <f>+VLOOKUP(A134,'[1]Tárgy kurzusai'!$A:$C,3,0)</f>
        <v>P:11:40-13:10(E.3.338)</v>
      </c>
      <c r="Z134">
        <f>+VLOOKUP(A134,'[1]Tárgy kurzusai'!$A:$F,6,0)</f>
        <v>3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</row>
    <row r="135" spans="1:55" ht="16" x14ac:dyDescent="0.2">
      <c r="A135" s="13" t="s">
        <v>9</v>
      </c>
      <c r="B135" s="13" t="s">
        <v>8</v>
      </c>
      <c r="C135" s="11">
        <v>6.5</v>
      </c>
      <c r="D135" s="11">
        <v>4</v>
      </c>
      <c r="E135" s="9">
        <v>0</v>
      </c>
      <c r="F135" s="9">
        <v>0</v>
      </c>
      <c r="G135" s="3" t="e">
        <v>#N/A</v>
      </c>
      <c r="H135">
        <v>0.75</v>
      </c>
      <c r="I135">
        <v>0</v>
      </c>
      <c r="J135">
        <v>0.25</v>
      </c>
      <c r="K135">
        <v>0.5</v>
      </c>
      <c r="L135">
        <v>1</v>
      </c>
      <c r="M135">
        <v>0.25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f t="shared" si="16"/>
        <v>6.5</v>
      </c>
      <c r="U135">
        <f t="shared" si="17"/>
        <v>4</v>
      </c>
      <c r="V135">
        <f t="shared" si="18"/>
        <v>0</v>
      </c>
      <c r="W135">
        <f t="shared" si="19"/>
        <v>0</v>
      </c>
      <c r="X135" t="e">
        <f t="shared" si="20"/>
        <v>#N/A</v>
      </c>
      <c r="Y135" t="str">
        <f>+VLOOKUP(A135,'[1]Tárgy kurzusai'!$A:$C,3,0)</f>
        <v>P:11:40-13:10(E.3.338)</v>
      </c>
      <c r="Z135">
        <f>+VLOOKUP(A135,'[1]Tárgy kurzusai'!$A:$F,6,0)</f>
        <v>3</v>
      </c>
      <c r="AA135" t="s">
        <v>66</v>
      </c>
      <c r="AB135" t="s">
        <v>50</v>
      </c>
      <c r="AC135" t="s">
        <v>74</v>
      </c>
      <c r="AD135" t="s">
        <v>60</v>
      </c>
      <c r="AE135" t="s">
        <v>69</v>
      </c>
      <c r="AF135" t="s">
        <v>69</v>
      </c>
      <c r="AG135" t="s">
        <v>55</v>
      </c>
      <c r="AH135" t="s">
        <v>55</v>
      </c>
      <c r="AI135" t="s">
        <v>55</v>
      </c>
      <c r="AJ135" t="s">
        <v>57</v>
      </c>
      <c r="AK135" t="s">
        <v>79</v>
      </c>
      <c r="AL135" t="s">
        <v>59</v>
      </c>
      <c r="AM135" t="s">
        <v>60</v>
      </c>
      <c r="AN135">
        <v>5</v>
      </c>
      <c r="AO135">
        <v>27</v>
      </c>
      <c r="AP135">
        <v>4</v>
      </c>
      <c r="AQ135">
        <v>10</v>
      </c>
      <c r="AR135" t="s">
        <v>55</v>
      </c>
      <c r="AS135" t="s">
        <v>61</v>
      </c>
      <c r="AT135" t="s">
        <v>55</v>
      </c>
      <c r="AU135" t="s">
        <v>62</v>
      </c>
      <c r="AV135" t="s">
        <v>63</v>
      </c>
      <c r="AW135" t="s">
        <v>60</v>
      </c>
      <c r="AX135" t="s">
        <v>60</v>
      </c>
      <c r="AY135">
        <v>3</v>
      </c>
      <c r="AZ135" t="s">
        <v>78</v>
      </c>
      <c r="BA135">
        <v>7</v>
      </c>
      <c r="BB135">
        <v>5</v>
      </c>
      <c r="BC135" t="s">
        <v>82</v>
      </c>
    </row>
    <row r="136" spans="1:55" ht="16" x14ac:dyDescent="0.2">
      <c r="A136" s="13" t="s">
        <v>9</v>
      </c>
      <c r="B136" s="13" t="s">
        <v>8</v>
      </c>
      <c r="C136" s="11">
        <v>12</v>
      </c>
      <c r="D136" s="11">
        <v>11.5</v>
      </c>
      <c r="E136" s="11">
        <v>13</v>
      </c>
      <c r="F136" s="11">
        <v>10</v>
      </c>
      <c r="G136" s="3">
        <v>19</v>
      </c>
      <c r="H136">
        <v>1</v>
      </c>
      <c r="I136">
        <v>0.75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1</v>
      </c>
      <c r="Q136">
        <v>0.75</v>
      </c>
      <c r="R136">
        <v>1</v>
      </c>
      <c r="S136">
        <v>1</v>
      </c>
      <c r="T136">
        <f t="shared" si="16"/>
        <v>12</v>
      </c>
      <c r="U136">
        <f t="shared" si="17"/>
        <v>11.5</v>
      </c>
      <c r="V136">
        <f t="shared" si="18"/>
        <v>13</v>
      </c>
      <c r="W136">
        <f t="shared" si="19"/>
        <v>10</v>
      </c>
      <c r="X136">
        <f t="shared" si="20"/>
        <v>19</v>
      </c>
      <c r="Y136" t="str">
        <f>+VLOOKUP(A136,'[1]Tárgy kurzusai'!$A:$C,3,0)</f>
        <v>P:11:40-13:10(E.3.338)</v>
      </c>
      <c r="Z136">
        <f>+VLOOKUP(A136,'[1]Tárgy kurzusai'!$A:$F,6,0)</f>
        <v>3</v>
      </c>
      <c r="AA136" t="s">
        <v>66</v>
      </c>
      <c r="AB136" t="s">
        <v>71</v>
      </c>
      <c r="AC136" t="s">
        <v>74</v>
      </c>
      <c r="AD136" t="s">
        <v>60</v>
      </c>
      <c r="AE136" t="s">
        <v>69</v>
      </c>
      <c r="AF136" t="s">
        <v>69</v>
      </c>
      <c r="AG136" t="s">
        <v>55</v>
      </c>
      <c r="AH136" t="s">
        <v>55</v>
      </c>
      <c r="AI136" t="s">
        <v>55</v>
      </c>
      <c r="AJ136" t="s">
        <v>57</v>
      </c>
      <c r="AK136" t="s">
        <v>79</v>
      </c>
      <c r="AL136" t="s">
        <v>59</v>
      </c>
      <c r="AM136" t="s">
        <v>60</v>
      </c>
      <c r="AN136">
        <v>7</v>
      </c>
      <c r="AO136">
        <v>30</v>
      </c>
      <c r="AP136">
        <v>5</v>
      </c>
      <c r="AQ136">
        <v>3</v>
      </c>
      <c r="AR136" t="s">
        <v>55</v>
      </c>
      <c r="AS136" t="s">
        <v>55</v>
      </c>
      <c r="AT136" t="s">
        <v>55</v>
      </c>
      <c r="AU136" t="s">
        <v>62</v>
      </c>
      <c r="AV136" t="s">
        <v>63</v>
      </c>
      <c r="AW136" t="s">
        <v>60</v>
      </c>
      <c r="AX136" t="s">
        <v>60</v>
      </c>
      <c r="AY136">
        <v>2</v>
      </c>
      <c r="AZ136" t="s">
        <v>64</v>
      </c>
      <c r="BA136">
        <v>5</v>
      </c>
      <c r="BB136">
        <v>8</v>
      </c>
      <c r="BC136" t="s">
        <v>82</v>
      </c>
    </row>
    <row r="137" spans="1:55" ht="16" x14ac:dyDescent="0.2">
      <c r="A137" s="13" t="s">
        <v>9</v>
      </c>
      <c r="B137" s="13" t="s">
        <v>8</v>
      </c>
      <c r="C137" s="11">
        <v>16</v>
      </c>
      <c r="D137" s="11">
        <v>13.5</v>
      </c>
      <c r="E137" s="11">
        <v>13</v>
      </c>
      <c r="F137" s="11">
        <v>16</v>
      </c>
      <c r="G137" s="3">
        <v>35.5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0.5</v>
      </c>
      <c r="P137">
        <v>1</v>
      </c>
      <c r="Q137">
        <v>0.5</v>
      </c>
      <c r="R137">
        <v>1</v>
      </c>
      <c r="S137">
        <v>1</v>
      </c>
      <c r="T137">
        <f t="shared" si="16"/>
        <v>16</v>
      </c>
      <c r="U137">
        <f t="shared" si="17"/>
        <v>13.5</v>
      </c>
      <c r="V137">
        <f t="shared" si="18"/>
        <v>13</v>
      </c>
      <c r="W137">
        <f t="shared" si="19"/>
        <v>16</v>
      </c>
      <c r="X137">
        <f t="shared" si="20"/>
        <v>35.5</v>
      </c>
      <c r="Y137" t="str">
        <f>+VLOOKUP(A137,'[1]Tárgy kurzusai'!$A:$C,3,0)</f>
        <v>P:11:40-13:10(E.3.338)</v>
      </c>
      <c r="Z137">
        <f>+VLOOKUP(A137,'[1]Tárgy kurzusai'!$A:$F,6,0)</f>
        <v>3</v>
      </c>
      <c r="AA137" t="s">
        <v>49</v>
      </c>
      <c r="AB137" t="s">
        <v>71</v>
      </c>
      <c r="AC137" t="s">
        <v>51</v>
      </c>
      <c r="AD137" t="s">
        <v>73</v>
      </c>
      <c r="AE137" t="s">
        <v>69</v>
      </c>
      <c r="AF137" t="s">
        <v>69</v>
      </c>
      <c r="AG137" t="s">
        <v>56</v>
      </c>
      <c r="AH137" t="s">
        <v>56</v>
      </c>
      <c r="AI137" t="s">
        <v>55</v>
      </c>
      <c r="AJ137" t="s">
        <v>57</v>
      </c>
      <c r="AK137" t="s">
        <v>58</v>
      </c>
      <c r="AL137" t="s">
        <v>59</v>
      </c>
      <c r="AM137" t="s">
        <v>60</v>
      </c>
      <c r="AN137">
        <v>9</v>
      </c>
      <c r="AO137">
        <v>40</v>
      </c>
      <c r="AP137">
        <v>5</v>
      </c>
      <c r="AQ137">
        <v>17</v>
      </c>
      <c r="AR137" t="s">
        <v>55</v>
      </c>
      <c r="AS137" t="s">
        <v>55</v>
      </c>
      <c r="AT137" t="s">
        <v>56</v>
      </c>
      <c r="AU137" t="s">
        <v>62</v>
      </c>
      <c r="AV137" t="s">
        <v>63</v>
      </c>
      <c r="AW137" t="s">
        <v>60</v>
      </c>
      <c r="AX137" t="s">
        <v>60</v>
      </c>
      <c r="AY137">
        <v>4</v>
      </c>
      <c r="AZ137" t="s">
        <v>64</v>
      </c>
      <c r="BA137">
        <v>3</v>
      </c>
      <c r="BB137">
        <v>7</v>
      </c>
      <c r="BC137" t="s">
        <v>76</v>
      </c>
    </row>
    <row r="138" spans="1:55" ht="16" x14ac:dyDescent="0.2">
      <c r="A138" s="13" t="s">
        <v>9</v>
      </c>
      <c r="B138" s="13" t="s">
        <v>8</v>
      </c>
      <c r="C138" s="11">
        <v>13</v>
      </c>
      <c r="D138" s="11">
        <v>6</v>
      </c>
      <c r="E138" s="9">
        <v>0</v>
      </c>
      <c r="F138" s="9">
        <v>0</v>
      </c>
      <c r="G138" s="3" t="e">
        <v>#N/A</v>
      </c>
      <c r="H138">
        <v>1</v>
      </c>
      <c r="I138">
        <v>0.75</v>
      </c>
      <c r="J138">
        <v>0.75</v>
      </c>
      <c r="K138">
        <v>1</v>
      </c>
      <c r="L138">
        <v>1</v>
      </c>
      <c r="M138">
        <v>0.75</v>
      </c>
      <c r="N138">
        <v>0.25</v>
      </c>
      <c r="O138">
        <v>0</v>
      </c>
      <c r="P138">
        <v>1</v>
      </c>
      <c r="Q138">
        <v>0.25</v>
      </c>
      <c r="R138">
        <v>1</v>
      </c>
      <c r="S138">
        <v>1</v>
      </c>
      <c r="T138">
        <f t="shared" si="16"/>
        <v>13</v>
      </c>
      <c r="U138">
        <f t="shared" si="17"/>
        <v>6</v>
      </c>
      <c r="V138">
        <f t="shared" si="18"/>
        <v>0</v>
      </c>
      <c r="W138">
        <f t="shared" si="19"/>
        <v>0</v>
      </c>
      <c r="X138" t="e">
        <f t="shared" si="20"/>
        <v>#N/A</v>
      </c>
      <c r="Y138" t="str">
        <f>+VLOOKUP(A138,'[1]Tárgy kurzusai'!$A:$C,3,0)</f>
        <v>P:11:40-13:10(E.3.338)</v>
      </c>
      <c r="Z138">
        <f>+VLOOKUP(A138,'[1]Tárgy kurzusai'!$A:$F,6,0)</f>
        <v>3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</row>
    <row r="139" spans="1:55" ht="16" x14ac:dyDescent="0.2">
      <c r="A139" s="13" t="s">
        <v>9</v>
      </c>
      <c r="B139" s="13" t="s">
        <v>8</v>
      </c>
      <c r="C139" s="11">
        <v>8</v>
      </c>
      <c r="D139" s="11">
        <v>11.5</v>
      </c>
      <c r="E139" s="11">
        <v>8</v>
      </c>
      <c r="F139" s="11">
        <v>8</v>
      </c>
      <c r="G139" s="3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1</v>
      </c>
      <c r="T139">
        <f t="shared" si="16"/>
        <v>8</v>
      </c>
      <c r="U139">
        <f t="shared" si="17"/>
        <v>11.5</v>
      </c>
      <c r="V139">
        <f t="shared" si="18"/>
        <v>8</v>
      </c>
      <c r="W139">
        <f t="shared" si="19"/>
        <v>8</v>
      </c>
      <c r="X139">
        <f t="shared" si="20"/>
        <v>0</v>
      </c>
      <c r="Y139" t="str">
        <f>+VLOOKUP(A139,'[1]Tárgy kurzusai'!$A:$C,3,0)</f>
        <v>P:11:40-13:10(E.3.338)</v>
      </c>
      <c r="Z139">
        <f>+VLOOKUP(A139,'[1]Tárgy kurzusai'!$A:$F,6,0)</f>
        <v>3</v>
      </c>
      <c r="AA139" t="s">
        <v>49</v>
      </c>
      <c r="AB139" t="s">
        <v>71</v>
      </c>
      <c r="AC139" t="s">
        <v>74</v>
      </c>
      <c r="AD139" t="s">
        <v>60</v>
      </c>
      <c r="AE139" t="s">
        <v>69</v>
      </c>
      <c r="AF139" t="s">
        <v>69</v>
      </c>
      <c r="AG139" t="s">
        <v>55</v>
      </c>
      <c r="AH139" t="s">
        <v>55</v>
      </c>
      <c r="AI139" t="s">
        <v>56</v>
      </c>
      <c r="AJ139" t="s">
        <v>57</v>
      </c>
      <c r="AK139" t="s">
        <v>58</v>
      </c>
      <c r="AL139" t="s">
        <v>59</v>
      </c>
      <c r="AM139" t="s">
        <v>60</v>
      </c>
      <c r="AN139">
        <v>5</v>
      </c>
      <c r="AO139">
        <v>33</v>
      </c>
      <c r="AP139">
        <v>4</v>
      </c>
      <c r="AQ139">
        <v>12</v>
      </c>
      <c r="AR139" t="s">
        <v>55</v>
      </c>
      <c r="AS139" t="s">
        <v>61</v>
      </c>
      <c r="AT139" t="s">
        <v>55</v>
      </c>
      <c r="AU139" t="s">
        <v>62</v>
      </c>
      <c r="AV139" t="s">
        <v>63</v>
      </c>
      <c r="AW139" t="s">
        <v>60</v>
      </c>
      <c r="AX139" t="s">
        <v>60</v>
      </c>
      <c r="AY139">
        <v>2</v>
      </c>
      <c r="AZ139" t="s">
        <v>64</v>
      </c>
      <c r="BA139">
        <v>6</v>
      </c>
      <c r="BB139">
        <v>4</v>
      </c>
      <c r="BC139" t="s">
        <v>70</v>
      </c>
    </row>
    <row r="140" spans="1:55" ht="16" x14ac:dyDescent="0.2">
      <c r="A140" s="13" t="s">
        <v>9</v>
      </c>
      <c r="B140" s="13" t="s">
        <v>8</v>
      </c>
      <c r="C140" s="11">
        <v>9</v>
      </c>
      <c r="D140" s="11">
        <v>13.5</v>
      </c>
      <c r="E140" s="11">
        <v>8</v>
      </c>
      <c r="F140" s="11">
        <v>8</v>
      </c>
      <c r="G140" s="3">
        <v>21.5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0.5</v>
      </c>
      <c r="R140">
        <v>1</v>
      </c>
      <c r="S140">
        <v>1</v>
      </c>
      <c r="T140">
        <f t="shared" si="16"/>
        <v>9</v>
      </c>
      <c r="U140">
        <f t="shared" si="17"/>
        <v>13.5</v>
      </c>
      <c r="V140">
        <f t="shared" si="18"/>
        <v>8</v>
      </c>
      <c r="W140">
        <f t="shared" si="19"/>
        <v>8</v>
      </c>
      <c r="X140">
        <f t="shared" si="20"/>
        <v>21.5</v>
      </c>
      <c r="Y140" t="str">
        <f>+VLOOKUP(A140,'[1]Tárgy kurzusai'!$A:$C,3,0)</f>
        <v>P:11:40-13:10(E.3.338)</v>
      </c>
      <c r="Z140">
        <f>+VLOOKUP(A140,'[1]Tárgy kurzusai'!$A:$F,6,0)</f>
        <v>3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</row>
    <row r="141" spans="1:55" ht="16" x14ac:dyDescent="0.2">
      <c r="A141" s="13" t="s">
        <v>9</v>
      </c>
      <c r="B141" s="13" t="s">
        <v>8</v>
      </c>
      <c r="C141" s="11">
        <v>13</v>
      </c>
      <c r="D141" s="11">
        <v>13</v>
      </c>
      <c r="E141" s="11">
        <v>15</v>
      </c>
      <c r="F141" s="11">
        <v>16</v>
      </c>
      <c r="G141" s="3">
        <v>35.5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f t="shared" si="16"/>
        <v>13</v>
      </c>
      <c r="U141">
        <f t="shared" si="17"/>
        <v>13</v>
      </c>
      <c r="V141">
        <f t="shared" si="18"/>
        <v>15</v>
      </c>
      <c r="W141">
        <f t="shared" si="19"/>
        <v>16</v>
      </c>
      <c r="X141">
        <f t="shared" si="20"/>
        <v>35.5</v>
      </c>
      <c r="Y141" t="str">
        <f>+VLOOKUP(A141,'[1]Tárgy kurzusai'!$A:$C,3,0)</f>
        <v>P:11:40-13:10(E.3.338)</v>
      </c>
      <c r="Z141">
        <f>+VLOOKUP(A141,'[1]Tárgy kurzusai'!$A:$F,6,0)</f>
        <v>3</v>
      </c>
      <c r="AA141" t="s">
        <v>49</v>
      </c>
      <c r="AB141" t="s">
        <v>71</v>
      </c>
      <c r="AC141" t="s">
        <v>51</v>
      </c>
      <c r="AD141" t="s">
        <v>68</v>
      </c>
      <c r="AE141" t="s">
        <v>69</v>
      </c>
      <c r="AF141" t="s">
        <v>69</v>
      </c>
      <c r="AG141" t="s">
        <v>55</v>
      </c>
      <c r="AH141" t="s">
        <v>55</v>
      </c>
      <c r="AI141" t="s">
        <v>55</v>
      </c>
      <c r="AJ141" t="s">
        <v>57</v>
      </c>
      <c r="AK141" t="s">
        <v>58</v>
      </c>
      <c r="AL141" t="s">
        <v>59</v>
      </c>
      <c r="AM141" t="s">
        <v>60</v>
      </c>
      <c r="AN141">
        <v>6</v>
      </c>
      <c r="AO141">
        <v>33</v>
      </c>
      <c r="AP141">
        <v>5</v>
      </c>
      <c r="AQ141">
        <v>14</v>
      </c>
      <c r="AR141" t="s">
        <v>55</v>
      </c>
      <c r="AS141" t="s">
        <v>55</v>
      </c>
      <c r="AT141" t="s">
        <v>56</v>
      </c>
      <c r="AU141" t="s">
        <v>62</v>
      </c>
      <c r="AV141" t="s">
        <v>63</v>
      </c>
      <c r="AW141" t="s">
        <v>60</v>
      </c>
      <c r="AX141" t="s">
        <v>60</v>
      </c>
      <c r="AY141">
        <v>5</v>
      </c>
      <c r="AZ141" t="s">
        <v>64</v>
      </c>
      <c r="BA141">
        <v>4</v>
      </c>
      <c r="BB141">
        <v>4</v>
      </c>
      <c r="BC141" t="s">
        <v>76</v>
      </c>
    </row>
    <row r="142" spans="1:55" ht="16" x14ac:dyDescent="0.2">
      <c r="A142" s="13" t="s">
        <v>9</v>
      </c>
      <c r="B142" s="13" t="s">
        <v>8</v>
      </c>
      <c r="C142" s="11">
        <v>9</v>
      </c>
      <c r="D142" s="11">
        <v>15</v>
      </c>
      <c r="E142" s="11">
        <v>10</v>
      </c>
      <c r="F142" s="11">
        <v>9</v>
      </c>
      <c r="G142" s="3">
        <v>29.5</v>
      </c>
      <c r="H142">
        <v>1</v>
      </c>
      <c r="I142">
        <v>0.75</v>
      </c>
      <c r="J142">
        <v>0.75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1</v>
      </c>
      <c r="Q142">
        <v>0.5</v>
      </c>
      <c r="R142">
        <v>1</v>
      </c>
      <c r="S142">
        <v>1</v>
      </c>
      <c r="T142">
        <f t="shared" si="16"/>
        <v>9</v>
      </c>
      <c r="U142">
        <f t="shared" si="17"/>
        <v>15</v>
      </c>
      <c r="V142">
        <f t="shared" si="18"/>
        <v>10</v>
      </c>
      <c r="W142">
        <f t="shared" si="19"/>
        <v>9</v>
      </c>
      <c r="X142">
        <f t="shared" si="20"/>
        <v>29.5</v>
      </c>
      <c r="Y142" t="str">
        <f>+VLOOKUP(A142,'[1]Tárgy kurzusai'!$A:$C,3,0)</f>
        <v>P:11:40-13:10(E.3.338)</v>
      </c>
      <c r="Z142">
        <f>+VLOOKUP(A142,'[1]Tárgy kurzusai'!$A:$F,6,0)</f>
        <v>3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</row>
    <row r="143" spans="1:55" ht="16" x14ac:dyDescent="0.2">
      <c r="A143" s="13" t="s">
        <v>9</v>
      </c>
      <c r="B143" s="13" t="s">
        <v>8</v>
      </c>
      <c r="C143" s="11">
        <v>5</v>
      </c>
      <c r="D143" s="11">
        <v>7</v>
      </c>
      <c r="E143" s="11">
        <v>6</v>
      </c>
      <c r="F143" s="9">
        <v>0</v>
      </c>
      <c r="G143" s="3">
        <v>23.5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f t="shared" si="16"/>
        <v>5</v>
      </c>
      <c r="U143">
        <f t="shared" si="17"/>
        <v>7</v>
      </c>
      <c r="V143">
        <f t="shared" si="18"/>
        <v>6</v>
      </c>
      <c r="W143">
        <f t="shared" si="19"/>
        <v>0</v>
      </c>
      <c r="X143">
        <f t="shared" si="20"/>
        <v>23.5</v>
      </c>
      <c r="Y143" t="str">
        <f>+VLOOKUP(A143,'[1]Tárgy kurzusai'!$A:$C,3,0)</f>
        <v>P:11:40-13:10(E.3.338)</v>
      </c>
      <c r="Z143">
        <f>+VLOOKUP(A143,'[1]Tárgy kurzusai'!$A:$F,6,0)</f>
        <v>3</v>
      </c>
      <c r="AA143" t="s">
        <v>66</v>
      </c>
      <c r="AB143" t="s">
        <v>71</v>
      </c>
      <c r="AC143" t="s">
        <v>75</v>
      </c>
      <c r="AD143" t="s">
        <v>68</v>
      </c>
      <c r="AE143" t="s">
        <v>69</v>
      </c>
      <c r="AF143" t="s">
        <v>69</v>
      </c>
      <c r="AG143" t="s">
        <v>55</v>
      </c>
      <c r="AH143" t="s">
        <v>55</v>
      </c>
      <c r="AI143" t="s">
        <v>55</v>
      </c>
      <c r="AJ143" t="s">
        <v>57</v>
      </c>
      <c r="AK143" t="s">
        <v>58</v>
      </c>
      <c r="AL143" t="s">
        <v>59</v>
      </c>
      <c r="AM143" t="s">
        <v>60</v>
      </c>
      <c r="AN143">
        <v>8</v>
      </c>
      <c r="AO143">
        <v>30</v>
      </c>
      <c r="AP143">
        <v>5</v>
      </c>
      <c r="AQ143">
        <v>6</v>
      </c>
      <c r="AR143" t="s">
        <v>55</v>
      </c>
      <c r="AS143" t="s">
        <v>55</v>
      </c>
      <c r="AT143" t="s">
        <v>56</v>
      </c>
      <c r="AU143" t="s">
        <v>62</v>
      </c>
      <c r="AV143" t="s">
        <v>63</v>
      </c>
      <c r="AW143" t="s">
        <v>60</v>
      </c>
      <c r="AX143" t="s">
        <v>60</v>
      </c>
      <c r="AY143">
        <v>4</v>
      </c>
      <c r="AZ143" t="s">
        <v>64</v>
      </c>
      <c r="BA143">
        <v>3</v>
      </c>
      <c r="BB143">
        <v>3</v>
      </c>
      <c r="BC143" t="s">
        <v>76</v>
      </c>
    </row>
    <row r="144" spans="1:55" ht="16" x14ac:dyDescent="0.2">
      <c r="A144" s="13" t="s">
        <v>9</v>
      </c>
      <c r="B144" s="13" t="s">
        <v>8</v>
      </c>
      <c r="C144" s="9">
        <v>0</v>
      </c>
      <c r="D144" s="11">
        <v>8</v>
      </c>
      <c r="E144" s="11">
        <v>1.5</v>
      </c>
      <c r="F144" s="9">
        <v>0</v>
      </c>
      <c r="G144" s="3" t="e">
        <v>#N/A</v>
      </c>
      <c r="H144">
        <v>1</v>
      </c>
      <c r="I144">
        <v>1</v>
      </c>
      <c r="J144">
        <v>1</v>
      </c>
      <c r="K144">
        <v>0</v>
      </c>
      <c r="L144">
        <v>0.5</v>
      </c>
      <c r="M144">
        <v>1</v>
      </c>
      <c r="N144">
        <v>0</v>
      </c>
      <c r="O144">
        <v>0.5</v>
      </c>
      <c r="P144">
        <v>0</v>
      </c>
      <c r="Q144">
        <v>0.25</v>
      </c>
      <c r="R144">
        <v>0</v>
      </c>
      <c r="S144">
        <v>0</v>
      </c>
      <c r="T144">
        <f t="shared" si="16"/>
        <v>0</v>
      </c>
      <c r="U144">
        <f t="shared" si="17"/>
        <v>8</v>
      </c>
      <c r="V144">
        <f t="shared" si="18"/>
        <v>1.5</v>
      </c>
      <c r="W144">
        <f t="shared" si="19"/>
        <v>0</v>
      </c>
      <c r="X144" t="e">
        <f t="shared" si="20"/>
        <v>#N/A</v>
      </c>
      <c r="Y144" t="str">
        <f>+VLOOKUP(A144,'[1]Tárgy kurzusai'!$A:$C,3,0)</f>
        <v>P:11:40-13:10(E.3.338)</v>
      </c>
      <c r="Z144">
        <f>+VLOOKUP(A144,'[1]Tárgy kurzusai'!$A:$F,6,0)</f>
        <v>3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</row>
    <row r="145" spans="1:55" ht="16" x14ac:dyDescent="0.2">
      <c r="A145" s="13" t="s">
        <v>9</v>
      </c>
      <c r="B145" s="13" t="s">
        <v>8</v>
      </c>
      <c r="C145" s="11">
        <v>10</v>
      </c>
      <c r="D145" s="11">
        <v>4</v>
      </c>
      <c r="E145" s="11">
        <v>9.5</v>
      </c>
      <c r="F145" s="11">
        <v>9</v>
      </c>
      <c r="G145" s="3" t="e">
        <v>#N/A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f t="shared" si="16"/>
        <v>10</v>
      </c>
      <c r="U145">
        <f t="shared" si="17"/>
        <v>4</v>
      </c>
      <c r="V145">
        <f t="shared" si="18"/>
        <v>9.5</v>
      </c>
      <c r="W145">
        <f t="shared" si="19"/>
        <v>9</v>
      </c>
      <c r="X145" t="e">
        <f t="shared" si="20"/>
        <v>#N/A</v>
      </c>
      <c r="Y145" t="str">
        <f>+VLOOKUP(A145,'[1]Tárgy kurzusai'!$A:$C,3,0)</f>
        <v>P:11:40-13:10(E.3.338)</v>
      </c>
      <c r="Z145">
        <f>+VLOOKUP(A145,'[1]Tárgy kurzusai'!$A:$F,6,0)</f>
        <v>3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</row>
    <row r="146" spans="1:55" ht="16" x14ac:dyDescent="0.2">
      <c r="A146" s="13" t="s">
        <v>9</v>
      </c>
      <c r="B146" s="13" t="s">
        <v>8</v>
      </c>
      <c r="C146" s="9">
        <v>0</v>
      </c>
      <c r="D146" s="11">
        <v>7</v>
      </c>
      <c r="E146" s="11">
        <v>12</v>
      </c>
      <c r="F146" s="11">
        <v>11</v>
      </c>
      <c r="G146" s="3">
        <v>27.5</v>
      </c>
      <c r="H146">
        <v>0.75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0.75</v>
      </c>
      <c r="O146">
        <v>1</v>
      </c>
      <c r="P146">
        <v>1</v>
      </c>
      <c r="Q146">
        <v>0.75</v>
      </c>
      <c r="R146">
        <v>0.75</v>
      </c>
      <c r="S146">
        <v>1</v>
      </c>
      <c r="T146">
        <f t="shared" si="16"/>
        <v>0</v>
      </c>
      <c r="U146">
        <f t="shared" si="17"/>
        <v>7</v>
      </c>
      <c r="V146">
        <f t="shared" si="18"/>
        <v>12</v>
      </c>
      <c r="W146">
        <f t="shared" si="19"/>
        <v>11</v>
      </c>
      <c r="X146">
        <f t="shared" si="20"/>
        <v>27.5</v>
      </c>
      <c r="Y146" t="str">
        <f>+VLOOKUP(A146,'[1]Tárgy kurzusai'!$A:$C,3,0)</f>
        <v>P:11:40-13:10(E.3.338)</v>
      </c>
      <c r="Z146">
        <f>+VLOOKUP(A146,'[1]Tárgy kurzusai'!$A:$F,6,0)</f>
        <v>3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</row>
    <row r="147" spans="1:55" ht="16" x14ac:dyDescent="0.2">
      <c r="A147" s="13" t="s">
        <v>9</v>
      </c>
      <c r="B147" s="13" t="s">
        <v>8</v>
      </c>
      <c r="C147" s="11">
        <v>8</v>
      </c>
      <c r="D147" s="11">
        <v>11.5</v>
      </c>
      <c r="E147" s="11">
        <v>13</v>
      </c>
      <c r="F147" s="11">
        <v>15</v>
      </c>
      <c r="G147" s="3">
        <v>34</v>
      </c>
      <c r="H147">
        <v>0.75</v>
      </c>
      <c r="I147">
        <v>0.75</v>
      </c>
      <c r="J147">
        <v>1</v>
      </c>
      <c r="K147">
        <v>1</v>
      </c>
      <c r="L147">
        <v>1</v>
      </c>
      <c r="M147">
        <v>0.75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f t="shared" si="16"/>
        <v>8</v>
      </c>
      <c r="U147">
        <f t="shared" si="17"/>
        <v>11.5</v>
      </c>
      <c r="V147">
        <f t="shared" si="18"/>
        <v>13</v>
      </c>
      <c r="W147">
        <f t="shared" si="19"/>
        <v>15</v>
      </c>
      <c r="X147">
        <f t="shared" si="20"/>
        <v>34</v>
      </c>
      <c r="Y147" t="str">
        <f>+VLOOKUP(A147,'[1]Tárgy kurzusai'!$A:$C,3,0)</f>
        <v>P:11:40-13:10(E.3.338)</v>
      </c>
      <c r="Z147">
        <f>+VLOOKUP(A147,'[1]Tárgy kurzusai'!$A:$F,6,0)</f>
        <v>3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</row>
    <row r="148" spans="1:55" ht="16" x14ac:dyDescent="0.2">
      <c r="A148" s="13" t="s">
        <v>9</v>
      </c>
      <c r="B148" s="13" t="s">
        <v>8</v>
      </c>
      <c r="C148" s="11">
        <v>7</v>
      </c>
      <c r="D148" s="11">
        <v>7</v>
      </c>
      <c r="E148" s="11">
        <v>7.5</v>
      </c>
      <c r="F148" s="11">
        <v>7</v>
      </c>
      <c r="G148" s="3">
        <v>17</v>
      </c>
      <c r="H148">
        <v>0.75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0.25</v>
      </c>
      <c r="R148">
        <v>1</v>
      </c>
      <c r="S148">
        <v>0</v>
      </c>
      <c r="T148">
        <f t="shared" si="16"/>
        <v>7</v>
      </c>
      <c r="U148">
        <f t="shared" si="17"/>
        <v>7</v>
      </c>
      <c r="V148">
        <f t="shared" si="18"/>
        <v>7.5</v>
      </c>
      <c r="W148">
        <f t="shared" si="19"/>
        <v>7</v>
      </c>
      <c r="X148">
        <f t="shared" si="20"/>
        <v>17</v>
      </c>
      <c r="Y148" t="str">
        <f>+VLOOKUP(A148,'[1]Tárgy kurzusai'!$A:$C,3,0)</f>
        <v>P:11:40-13:10(E.3.338)</v>
      </c>
      <c r="Z148">
        <f>+VLOOKUP(A148,'[1]Tárgy kurzusai'!$A:$F,6,0)</f>
        <v>3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</row>
    <row r="149" spans="1:55" ht="16" x14ac:dyDescent="0.2">
      <c r="A149" s="13" t="s">
        <v>9</v>
      </c>
      <c r="B149" s="13" t="s">
        <v>8</v>
      </c>
      <c r="C149" s="11">
        <v>6.5</v>
      </c>
      <c r="D149" s="9">
        <v>0</v>
      </c>
      <c r="E149" s="9">
        <v>0</v>
      </c>
      <c r="F149" s="9">
        <v>0</v>
      </c>
      <c r="G149" s="3" t="e">
        <v>#N/A</v>
      </c>
      <c r="H149">
        <v>1</v>
      </c>
      <c r="I149">
        <v>0.75</v>
      </c>
      <c r="J149">
        <v>0.75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1</v>
      </c>
      <c r="Q149">
        <v>0.25</v>
      </c>
      <c r="R149">
        <v>0</v>
      </c>
      <c r="S149">
        <v>0</v>
      </c>
      <c r="T149">
        <f t="shared" si="16"/>
        <v>6.5</v>
      </c>
      <c r="U149">
        <f t="shared" si="17"/>
        <v>0</v>
      </c>
      <c r="V149">
        <f t="shared" si="18"/>
        <v>0</v>
      </c>
      <c r="W149">
        <f t="shared" si="19"/>
        <v>0</v>
      </c>
      <c r="X149" t="e">
        <f t="shared" si="20"/>
        <v>#N/A</v>
      </c>
      <c r="Y149" t="str">
        <f>+VLOOKUP(A149,'[1]Tárgy kurzusai'!$A:$C,3,0)</f>
        <v>P:11:40-13:10(E.3.338)</v>
      </c>
      <c r="Z149">
        <f>+VLOOKUP(A149,'[1]Tárgy kurzusai'!$A:$F,6,0)</f>
        <v>3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</row>
    <row r="150" spans="1:55" ht="16" x14ac:dyDescent="0.2">
      <c r="A150" s="13" t="s">
        <v>9</v>
      </c>
      <c r="B150" s="13" t="s">
        <v>8</v>
      </c>
      <c r="C150" s="11">
        <v>3</v>
      </c>
      <c r="D150" s="11">
        <v>12.5</v>
      </c>
      <c r="E150" s="11">
        <v>10.5</v>
      </c>
      <c r="F150" s="11">
        <v>9</v>
      </c>
      <c r="G150" s="3">
        <v>28</v>
      </c>
      <c r="H150">
        <v>0.75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0.5</v>
      </c>
      <c r="R150">
        <v>1</v>
      </c>
      <c r="S150">
        <v>1</v>
      </c>
      <c r="T150">
        <f t="shared" si="16"/>
        <v>3</v>
      </c>
      <c r="U150">
        <f t="shared" si="17"/>
        <v>12.5</v>
      </c>
      <c r="V150">
        <f t="shared" si="18"/>
        <v>10.5</v>
      </c>
      <c r="W150">
        <f t="shared" si="19"/>
        <v>9</v>
      </c>
      <c r="X150">
        <f t="shared" si="20"/>
        <v>28</v>
      </c>
      <c r="Y150" t="str">
        <f>+VLOOKUP(A150,'[1]Tárgy kurzusai'!$A:$C,3,0)</f>
        <v>P:11:40-13:10(E.3.338)</v>
      </c>
      <c r="Z150">
        <f>+VLOOKUP(A150,'[1]Tárgy kurzusai'!$A:$F,6,0)</f>
        <v>3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</row>
    <row r="151" spans="1:55" ht="16" x14ac:dyDescent="0.2">
      <c r="A151" s="13" t="s">
        <v>9</v>
      </c>
      <c r="B151" s="13" t="s">
        <v>8</v>
      </c>
      <c r="C151" s="11">
        <v>15.5</v>
      </c>
      <c r="D151" s="11">
        <v>9.5</v>
      </c>
      <c r="E151" s="11">
        <v>14</v>
      </c>
      <c r="F151" s="11">
        <v>16</v>
      </c>
      <c r="G151" s="3">
        <v>29</v>
      </c>
      <c r="H151">
        <v>1</v>
      </c>
      <c r="I151">
        <v>1</v>
      </c>
      <c r="J151">
        <v>1</v>
      </c>
      <c r="K151">
        <v>1</v>
      </c>
      <c r="L151">
        <v>0.5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f t="shared" si="16"/>
        <v>15.5</v>
      </c>
      <c r="U151">
        <f t="shared" si="17"/>
        <v>9.5</v>
      </c>
      <c r="V151">
        <f t="shared" si="18"/>
        <v>14</v>
      </c>
      <c r="W151">
        <f t="shared" si="19"/>
        <v>16</v>
      </c>
      <c r="X151">
        <f t="shared" si="20"/>
        <v>29</v>
      </c>
      <c r="Y151" t="str">
        <f>+VLOOKUP(A151,'[1]Tárgy kurzusai'!$A:$C,3,0)</f>
        <v>P:11:40-13:10(E.3.338)</v>
      </c>
      <c r="Z151">
        <f>+VLOOKUP(A151,'[1]Tárgy kurzusai'!$A:$F,6,0)</f>
        <v>3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</row>
    <row r="152" spans="1:55" ht="16" x14ac:dyDescent="0.2">
      <c r="A152" s="13" t="s">
        <v>9</v>
      </c>
      <c r="B152" s="13" t="s">
        <v>8</v>
      </c>
      <c r="C152" s="11">
        <v>4.5</v>
      </c>
      <c r="D152" s="11">
        <v>7</v>
      </c>
      <c r="E152" s="11">
        <v>10</v>
      </c>
      <c r="F152" s="9">
        <v>0</v>
      </c>
      <c r="G152" s="3" t="e">
        <v>#N/A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0.33</v>
      </c>
      <c r="P152">
        <v>1</v>
      </c>
      <c r="Q152">
        <v>0</v>
      </c>
      <c r="R152">
        <v>1</v>
      </c>
      <c r="S152">
        <v>0</v>
      </c>
      <c r="T152">
        <f t="shared" si="16"/>
        <v>4.5</v>
      </c>
      <c r="U152">
        <f t="shared" si="17"/>
        <v>7</v>
      </c>
      <c r="V152">
        <f t="shared" si="18"/>
        <v>10</v>
      </c>
      <c r="W152">
        <f t="shared" si="19"/>
        <v>0</v>
      </c>
      <c r="X152" t="e">
        <f t="shared" si="20"/>
        <v>#N/A</v>
      </c>
      <c r="Y152" t="str">
        <f>+VLOOKUP(A152,'[1]Tárgy kurzusai'!$A:$C,3,0)</f>
        <v>P:11:40-13:10(E.3.338)</v>
      </c>
      <c r="Z152">
        <f>+VLOOKUP(A152,'[1]Tárgy kurzusai'!$A:$F,6,0)</f>
        <v>3</v>
      </c>
      <c r="AA152" t="s">
        <v>66</v>
      </c>
      <c r="AB152" t="s">
        <v>71</v>
      </c>
      <c r="AC152" t="s">
        <v>51</v>
      </c>
      <c r="AD152" t="s">
        <v>90</v>
      </c>
      <c r="AE152" t="s">
        <v>69</v>
      </c>
      <c r="AF152" t="s">
        <v>53</v>
      </c>
      <c r="AG152" t="s">
        <v>55</v>
      </c>
      <c r="AH152" t="s">
        <v>55</v>
      </c>
      <c r="AI152" t="s">
        <v>55</v>
      </c>
      <c r="AJ152" t="s">
        <v>57</v>
      </c>
      <c r="AK152" t="s">
        <v>58</v>
      </c>
      <c r="AL152" t="s">
        <v>59</v>
      </c>
      <c r="AM152" t="s">
        <v>60</v>
      </c>
      <c r="AN152">
        <v>4</v>
      </c>
      <c r="AO152">
        <v>23</v>
      </c>
      <c r="AP152">
        <v>4</v>
      </c>
      <c r="AQ152">
        <v>8</v>
      </c>
      <c r="AR152" t="s">
        <v>55</v>
      </c>
      <c r="AS152" t="s">
        <v>61</v>
      </c>
      <c r="AT152" t="s">
        <v>55</v>
      </c>
      <c r="AU152" t="s">
        <v>62</v>
      </c>
      <c r="AV152" t="s">
        <v>63</v>
      </c>
      <c r="AW152" t="s">
        <v>60</v>
      </c>
      <c r="AX152" t="s">
        <v>60</v>
      </c>
      <c r="AY152" t="s">
        <v>60</v>
      </c>
      <c r="AZ152" t="s">
        <v>99</v>
      </c>
      <c r="BA152">
        <v>7</v>
      </c>
      <c r="BB152">
        <v>5</v>
      </c>
      <c r="BC152" t="s">
        <v>70</v>
      </c>
    </row>
    <row r="153" spans="1:55" ht="16" x14ac:dyDescent="0.2">
      <c r="A153" s="13" t="s">
        <v>9</v>
      </c>
      <c r="B153" s="13" t="s">
        <v>8</v>
      </c>
      <c r="C153" s="11">
        <v>8.5</v>
      </c>
      <c r="D153" s="11">
        <v>11</v>
      </c>
      <c r="E153" s="11">
        <v>14</v>
      </c>
      <c r="F153" s="11">
        <v>11</v>
      </c>
      <c r="G153" s="3">
        <v>26.5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0.75</v>
      </c>
      <c r="N153">
        <v>1</v>
      </c>
      <c r="O153">
        <v>0.83</v>
      </c>
      <c r="P153">
        <v>1</v>
      </c>
      <c r="Q153">
        <v>0.75</v>
      </c>
      <c r="R153">
        <v>1</v>
      </c>
      <c r="S153">
        <v>1</v>
      </c>
      <c r="T153">
        <f t="shared" si="16"/>
        <v>8.5</v>
      </c>
      <c r="U153">
        <f t="shared" si="17"/>
        <v>11</v>
      </c>
      <c r="V153">
        <f t="shared" si="18"/>
        <v>14</v>
      </c>
      <c r="W153">
        <f t="shared" si="19"/>
        <v>11</v>
      </c>
      <c r="X153">
        <f t="shared" si="20"/>
        <v>26.5</v>
      </c>
      <c r="Y153" t="str">
        <f>+VLOOKUP(A153,'[1]Tárgy kurzusai'!$A:$C,3,0)</f>
        <v>P:11:40-13:10(E.3.338)</v>
      </c>
      <c r="Z153">
        <f>+VLOOKUP(A153,'[1]Tárgy kurzusai'!$A:$F,6,0)</f>
        <v>3</v>
      </c>
      <c r="AA153" t="s">
        <v>66</v>
      </c>
      <c r="AB153" t="s">
        <v>71</v>
      </c>
      <c r="AC153" t="s">
        <v>72</v>
      </c>
      <c r="AD153" t="s">
        <v>52</v>
      </c>
      <c r="AE153" t="s">
        <v>69</v>
      </c>
      <c r="AF153" t="s">
        <v>69</v>
      </c>
      <c r="AG153" t="s">
        <v>56</v>
      </c>
      <c r="AH153" t="s">
        <v>55</v>
      </c>
      <c r="AI153" t="s">
        <v>55</v>
      </c>
      <c r="AJ153" t="s">
        <v>57</v>
      </c>
      <c r="AK153" t="s">
        <v>58</v>
      </c>
      <c r="AL153" t="s">
        <v>59</v>
      </c>
      <c r="AM153" t="s">
        <v>60</v>
      </c>
      <c r="AN153">
        <v>7</v>
      </c>
      <c r="AO153">
        <v>33</v>
      </c>
      <c r="AP153">
        <v>5</v>
      </c>
      <c r="AQ153">
        <v>6</v>
      </c>
      <c r="AR153" t="s">
        <v>55</v>
      </c>
      <c r="AS153" t="s">
        <v>55</v>
      </c>
      <c r="AT153" t="s">
        <v>56</v>
      </c>
      <c r="AU153" t="s">
        <v>62</v>
      </c>
      <c r="AV153" t="s">
        <v>63</v>
      </c>
      <c r="AW153" t="s">
        <v>60</v>
      </c>
      <c r="AX153" t="s">
        <v>60</v>
      </c>
      <c r="AY153">
        <v>3</v>
      </c>
      <c r="AZ153" t="s">
        <v>64</v>
      </c>
      <c r="BA153">
        <v>5</v>
      </c>
      <c r="BB153">
        <v>7</v>
      </c>
      <c r="BC153" t="s">
        <v>65</v>
      </c>
    </row>
    <row r="154" spans="1:55" ht="16" x14ac:dyDescent="0.2">
      <c r="A154" s="13" t="s">
        <v>9</v>
      </c>
      <c r="B154" s="13" t="s">
        <v>8</v>
      </c>
      <c r="C154" s="11">
        <v>10</v>
      </c>
      <c r="D154" s="11">
        <v>7</v>
      </c>
      <c r="E154" s="11">
        <v>6.5</v>
      </c>
      <c r="F154" s="11">
        <v>10</v>
      </c>
      <c r="G154" s="3">
        <v>17.5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0.75</v>
      </c>
      <c r="S154">
        <v>1</v>
      </c>
      <c r="T154">
        <f t="shared" si="16"/>
        <v>10</v>
      </c>
      <c r="U154">
        <f t="shared" si="17"/>
        <v>7</v>
      </c>
      <c r="V154">
        <f t="shared" si="18"/>
        <v>6.5</v>
      </c>
      <c r="W154">
        <f t="shared" si="19"/>
        <v>10</v>
      </c>
      <c r="X154">
        <f t="shared" si="20"/>
        <v>17.5</v>
      </c>
      <c r="Y154" t="str">
        <f>+VLOOKUP(A154,'[1]Tárgy kurzusai'!$A:$C,3,0)</f>
        <v>P:11:40-13:10(E.3.338)</v>
      </c>
      <c r="Z154">
        <f>+VLOOKUP(A154,'[1]Tárgy kurzusai'!$A:$F,6,0)</f>
        <v>3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</row>
    <row r="155" spans="1:55" ht="16" x14ac:dyDescent="0.2">
      <c r="A155" s="13" t="s">
        <v>9</v>
      </c>
      <c r="B155" s="13" t="s">
        <v>8</v>
      </c>
      <c r="C155" s="11">
        <v>7</v>
      </c>
      <c r="D155" s="11">
        <v>1</v>
      </c>
      <c r="E155" s="11">
        <v>10</v>
      </c>
      <c r="F155" s="11">
        <v>5</v>
      </c>
      <c r="G155" s="3">
        <v>20</v>
      </c>
      <c r="H155">
        <v>1</v>
      </c>
      <c r="I155">
        <v>1</v>
      </c>
      <c r="J155">
        <v>1</v>
      </c>
      <c r="K155">
        <v>1</v>
      </c>
      <c r="L155">
        <v>0.5</v>
      </c>
      <c r="M155">
        <v>1</v>
      </c>
      <c r="N155">
        <v>1</v>
      </c>
      <c r="O155">
        <v>1</v>
      </c>
      <c r="P155">
        <v>1</v>
      </c>
      <c r="Q155">
        <v>0.5</v>
      </c>
      <c r="R155">
        <v>1</v>
      </c>
      <c r="S155">
        <v>1</v>
      </c>
      <c r="T155">
        <f t="shared" si="16"/>
        <v>7</v>
      </c>
      <c r="U155">
        <f t="shared" si="17"/>
        <v>1</v>
      </c>
      <c r="V155">
        <f t="shared" si="18"/>
        <v>10</v>
      </c>
      <c r="W155">
        <f t="shared" si="19"/>
        <v>5</v>
      </c>
      <c r="X155">
        <f t="shared" si="20"/>
        <v>20</v>
      </c>
      <c r="Y155" t="str">
        <f>+VLOOKUP(A155,'[1]Tárgy kurzusai'!$A:$C,3,0)</f>
        <v>P:11:40-13:10(E.3.338)</v>
      </c>
      <c r="Z155">
        <f>+VLOOKUP(A155,'[1]Tárgy kurzusai'!$A:$F,6,0)</f>
        <v>3</v>
      </c>
      <c r="AA155" t="s">
        <v>66</v>
      </c>
      <c r="AB155" t="s">
        <v>50</v>
      </c>
      <c r="AC155" t="s">
        <v>74</v>
      </c>
      <c r="AD155" t="s">
        <v>60</v>
      </c>
      <c r="AE155" t="s">
        <v>69</v>
      </c>
      <c r="AF155" t="s">
        <v>69</v>
      </c>
      <c r="AG155" t="s">
        <v>55</v>
      </c>
      <c r="AH155" t="s">
        <v>55</v>
      </c>
      <c r="AI155" t="s">
        <v>55</v>
      </c>
      <c r="AJ155" t="s">
        <v>57</v>
      </c>
      <c r="AK155" t="s">
        <v>79</v>
      </c>
      <c r="AL155" t="s">
        <v>59</v>
      </c>
      <c r="AM155" t="s">
        <v>60</v>
      </c>
      <c r="AN155">
        <v>5</v>
      </c>
      <c r="AO155">
        <v>24</v>
      </c>
      <c r="AP155">
        <v>4</v>
      </c>
      <c r="AQ155">
        <v>5</v>
      </c>
      <c r="AR155" t="s">
        <v>55</v>
      </c>
      <c r="AS155" t="s">
        <v>61</v>
      </c>
      <c r="AT155" t="s">
        <v>56</v>
      </c>
      <c r="AU155" t="s">
        <v>62</v>
      </c>
      <c r="AV155" t="s">
        <v>63</v>
      </c>
      <c r="AW155" t="s">
        <v>60</v>
      </c>
      <c r="AX155" t="s">
        <v>60</v>
      </c>
      <c r="AY155">
        <v>3</v>
      </c>
      <c r="AZ155" t="s">
        <v>78</v>
      </c>
      <c r="BA155">
        <v>8</v>
      </c>
      <c r="BB155">
        <v>8</v>
      </c>
      <c r="BC155" t="s">
        <v>70</v>
      </c>
    </row>
    <row r="156" spans="1:55" x14ac:dyDescent="0.2">
      <c r="A156" s="14" t="s">
        <v>10</v>
      </c>
      <c r="B156" s="14" t="s">
        <v>3</v>
      </c>
      <c r="C156" s="15">
        <v>-1</v>
      </c>
      <c r="D156" s="15">
        <v>0</v>
      </c>
      <c r="E156" s="15">
        <v>0</v>
      </c>
      <c r="F156" s="15">
        <v>-16</v>
      </c>
      <c r="G156" s="3">
        <v>-7.5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0.67</v>
      </c>
      <c r="P156">
        <v>1</v>
      </c>
      <c r="Q156">
        <v>0.75</v>
      </c>
      <c r="R156">
        <v>1</v>
      </c>
      <c r="S156">
        <v>1</v>
      </c>
      <c r="T156">
        <f t="shared" ref="T156:T187" si="21">16+C156</f>
        <v>15</v>
      </c>
      <c r="U156">
        <f t="shared" ref="U156:U187" si="22">16+D156</f>
        <v>16</v>
      </c>
      <c r="V156">
        <f t="shared" ref="V156:V187" si="23">16+E156</f>
        <v>16</v>
      </c>
      <c r="W156">
        <f t="shared" ref="W156:W187" si="24">16+F156</f>
        <v>0</v>
      </c>
      <c r="X156">
        <f t="shared" ref="X156:X219" si="25">40+G156</f>
        <v>32.5</v>
      </c>
      <c r="Y156" t="str">
        <f>+VLOOKUP(A156,'[1]Tárgy kurzusai'!$A:$C,3,0)</f>
        <v>K:09:50-11:20(S.A.EA1)</v>
      </c>
      <c r="Z156">
        <f>+VLOOKUP(A156,'[1]Tárgy kurzusai'!$A:$F,6,0)</f>
        <v>2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</row>
    <row r="157" spans="1:55" x14ac:dyDescent="0.2">
      <c r="A157" s="14" t="s">
        <v>10</v>
      </c>
      <c r="B157" s="14" t="s">
        <v>3</v>
      </c>
      <c r="C157" s="15">
        <v>-1</v>
      </c>
      <c r="D157" s="15">
        <v>-4.5</v>
      </c>
      <c r="E157" s="15">
        <v>-2</v>
      </c>
      <c r="F157" s="15">
        <v>-4</v>
      </c>
      <c r="G157" s="3">
        <v>-9.5</v>
      </c>
      <c r="H157">
        <v>1</v>
      </c>
      <c r="I157">
        <v>0.75</v>
      </c>
      <c r="J157">
        <v>0.75</v>
      </c>
      <c r="K157">
        <v>1</v>
      </c>
      <c r="L157">
        <v>1</v>
      </c>
      <c r="M157">
        <v>0</v>
      </c>
      <c r="N157">
        <v>1</v>
      </c>
      <c r="O157">
        <v>0.67</v>
      </c>
      <c r="P157">
        <v>1</v>
      </c>
      <c r="Q157">
        <v>0</v>
      </c>
      <c r="R157">
        <v>1</v>
      </c>
      <c r="S157">
        <v>1</v>
      </c>
      <c r="T157">
        <f t="shared" si="21"/>
        <v>15</v>
      </c>
      <c r="U157">
        <f t="shared" si="22"/>
        <v>11.5</v>
      </c>
      <c r="V157">
        <f t="shared" si="23"/>
        <v>14</v>
      </c>
      <c r="W157">
        <f t="shared" si="24"/>
        <v>12</v>
      </c>
      <c r="X157">
        <f t="shared" si="25"/>
        <v>30.5</v>
      </c>
      <c r="Y157" t="str">
        <f>+VLOOKUP(A157,'[1]Tárgy kurzusai'!$A:$C,3,0)</f>
        <v>K:09:50-11:20(S.A.EA1)</v>
      </c>
      <c r="Z157">
        <f>+VLOOKUP(A157,'[1]Tárgy kurzusai'!$A:$F,6,0)</f>
        <v>2</v>
      </c>
      <c r="AA157" t="s">
        <v>49</v>
      </c>
      <c r="AB157" t="s">
        <v>50</v>
      </c>
      <c r="AC157" t="s">
        <v>74</v>
      </c>
      <c r="AD157" t="s">
        <v>60</v>
      </c>
      <c r="AE157" t="s">
        <v>69</v>
      </c>
      <c r="AF157" t="s">
        <v>69</v>
      </c>
      <c r="AG157" t="s">
        <v>55</v>
      </c>
      <c r="AH157" t="s">
        <v>55</v>
      </c>
      <c r="AI157" t="s">
        <v>55</v>
      </c>
      <c r="AJ157" t="s">
        <v>57</v>
      </c>
      <c r="AK157" t="s">
        <v>79</v>
      </c>
      <c r="AL157" t="s">
        <v>59</v>
      </c>
      <c r="AM157" t="s">
        <v>60</v>
      </c>
      <c r="AN157">
        <v>6</v>
      </c>
      <c r="AO157">
        <v>30</v>
      </c>
      <c r="AP157">
        <v>5</v>
      </c>
      <c r="AQ157">
        <v>11</v>
      </c>
      <c r="AR157" t="s">
        <v>55</v>
      </c>
      <c r="AS157" t="s">
        <v>55</v>
      </c>
      <c r="AT157" t="s">
        <v>55</v>
      </c>
      <c r="AU157" t="s">
        <v>62</v>
      </c>
      <c r="AV157" t="s">
        <v>63</v>
      </c>
      <c r="AW157" t="s">
        <v>60</v>
      </c>
      <c r="AX157" t="s">
        <v>60</v>
      </c>
      <c r="AY157">
        <v>4</v>
      </c>
      <c r="AZ157" t="s">
        <v>78</v>
      </c>
      <c r="BA157">
        <v>4</v>
      </c>
      <c r="BB157">
        <v>7</v>
      </c>
      <c r="BC157" t="s">
        <v>70</v>
      </c>
    </row>
    <row r="158" spans="1:55" x14ac:dyDescent="0.2">
      <c r="A158" s="14" t="s">
        <v>10</v>
      </c>
      <c r="B158" s="14" t="s">
        <v>3</v>
      </c>
      <c r="C158" s="15">
        <v>-7.5</v>
      </c>
      <c r="D158" s="15">
        <v>-7</v>
      </c>
      <c r="E158" s="15">
        <v>-4.5</v>
      </c>
      <c r="F158" s="15">
        <v>-1.5</v>
      </c>
      <c r="G158" s="3">
        <v>-16.5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f t="shared" si="21"/>
        <v>8.5</v>
      </c>
      <c r="U158">
        <f t="shared" si="22"/>
        <v>9</v>
      </c>
      <c r="V158">
        <f t="shared" si="23"/>
        <v>11.5</v>
      </c>
      <c r="W158">
        <f t="shared" si="24"/>
        <v>14.5</v>
      </c>
      <c r="X158">
        <f t="shared" si="25"/>
        <v>23.5</v>
      </c>
      <c r="Y158" t="str">
        <f>+VLOOKUP(A158,'[1]Tárgy kurzusai'!$A:$C,3,0)</f>
        <v>K:09:50-11:20(S.A.EA1)</v>
      </c>
      <c r="Z158">
        <f>+VLOOKUP(A158,'[1]Tárgy kurzusai'!$A:$F,6,0)</f>
        <v>2</v>
      </c>
      <c r="AA158" t="s">
        <v>66</v>
      </c>
      <c r="AB158" t="s">
        <v>71</v>
      </c>
      <c r="AC158" t="s">
        <v>72</v>
      </c>
      <c r="AD158" t="s">
        <v>77</v>
      </c>
      <c r="AE158" t="s">
        <v>53</v>
      </c>
      <c r="AF158" t="s">
        <v>69</v>
      </c>
      <c r="AG158" t="s">
        <v>56</v>
      </c>
      <c r="AH158" t="s">
        <v>56</v>
      </c>
      <c r="AI158" t="s">
        <v>55</v>
      </c>
      <c r="AJ158" t="s">
        <v>57</v>
      </c>
      <c r="AK158" t="s">
        <v>58</v>
      </c>
      <c r="AL158" t="s">
        <v>59</v>
      </c>
      <c r="AM158" t="s">
        <v>60</v>
      </c>
      <c r="AN158">
        <v>7</v>
      </c>
      <c r="AO158">
        <v>37</v>
      </c>
      <c r="AP158">
        <v>5</v>
      </c>
      <c r="AQ158">
        <v>4</v>
      </c>
      <c r="AR158" t="s">
        <v>55</v>
      </c>
      <c r="AS158" t="s">
        <v>55</v>
      </c>
      <c r="AT158" t="s">
        <v>56</v>
      </c>
      <c r="AU158" t="s">
        <v>62</v>
      </c>
      <c r="AV158" t="s">
        <v>63</v>
      </c>
      <c r="AW158" t="s">
        <v>60</v>
      </c>
      <c r="AX158" t="s">
        <v>60</v>
      </c>
      <c r="AY158">
        <v>5</v>
      </c>
      <c r="AZ158" t="s">
        <v>64</v>
      </c>
      <c r="BA158">
        <v>8</v>
      </c>
      <c r="BB158">
        <v>7</v>
      </c>
      <c r="BC158" t="s">
        <v>82</v>
      </c>
    </row>
    <row r="159" spans="1:55" x14ac:dyDescent="0.2">
      <c r="A159" s="14" t="s">
        <v>10</v>
      </c>
      <c r="B159" s="14" t="s">
        <v>3</v>
      </c>
      <c r="C159" s="15">
        <v>-5.5</v>
      </c>
      <c r="D159" s="15">
        <v>-3</v>
      </c>
      <c r="E159" s="15">
        <v>-3.5</v>
      </c>
      <c r="F159" s="15">
        <v>-3</v>
      </c>
      <c r="G159" s="3">
        <v>-10.5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0.75</v>
      </c>
      <c r="R159">
        <v>1</v>
      </c>
      <c r="S159">
        <v>1</v>
      </c>
      <c r="T159">
        <f t="shared" si="21"/>
        <v>10.5</v>
      </c>
      <c r="U159">
        <f t="shared" si="22"/>
        <v>13</v>
      </c>
      <c r="V159">
        <f t="shared" si="23"/>
        <v>12.5</v>
      </c>
      <c r="W159">
        <f t="shared" si="24"/>
        <v>13</v>
      </c>
      <c r="X159">
        <f t="shared" si="25"/>
        <v>29.5</v>
      </c>
      <c r="Y159" t="str">
        <f>+VLOOKUP(A159,'[1]Tárgy kurzusai'!$A:$C,3,0)</f>
        <v>K:09:50-11:20(S.A.EA1)</v>
      </c>
      <c r="Z159">
        <f>+VLOOKUP(A159,'[1]Tárgy kurzusai'!$A:$F,6,0)</f>
        <v>2</v>
      </c>
      <c r="AA159" t="s">
        <v>66</v>
      </c>
      <c r="AB159" t="s">
        <v>71</v>
      </c>
      <c r="AC159" t="s">
        <v>74</v>
      </c>
      <c r="AD159" t="s">
        <v>60</v>
      </c>
      <c r="AE159" t="s">
        <v>69</v>
      </c>
      <c r="AF159" t="s">
        <v>69</v>
      </c>
      <c r="AG159" t="s">
        <v>55</v>
      </c>
      <c r="AH159" t="s">
        <v>56</v>
      </c>
      <c r="AI159" t="s">
        <v>55</v>
      </c>
      <c r="AJ159" t="s">
        <v>57</v>
      </c>
      <c r="AK159" t="s">
        <v>58</v>
      </c>
      <c r="AL159" t="s">
        <v>59</v>
      </c>
      <c r="AM159" t="s">
        <v>60</v>
      </c>
      <c r="AN159">
        <v>7</v>
      </c>
      <c r="AO159">
        <v>34</v>
      </c>
      <c r="AP159">
        <v>5</v>
      </c>
      <c r="AQ159">
        <v>4</v>
      </c>
      <c r="AR159" t="s">
        <v>55</v>
      </c>
      <c r="AS159" t="s">
        <v>55</v>
      </c>
      <c r="AT159" t="s">
        <v>56</v>
      </c>
      <c r="AU159" t="s">
        <v>62</v>
      </c>
      <c r="AV159" t="s">
        <v>63</v>
      </c>
      <c r="AW159" t="s">
        <v>60</v>
      </c>
      <c r="AX159" t="s">
        <v>60</v>
      </c>
      <c r="AY159">
        <v>4</v>
      </c>
      <c r="AZ159" t="s">
        <v>64</v>
      </c>
      <c r="BA159">
        <v>5</v>
      </c>
      <c r="BB159">
        <v>7</v>
      </c>
      <c r="BC159" t="s">
        <v>65</v>
      </c>
    </row>
    <row r="160" spans="1:55" x14ac:dyDescent="0.2">
      <c r="A160" s="14" t="s">
        <v>10</v>
      </c>
      <c r="B160" s="14" t="s">
        <v>3</v>
      </c>
      <c r="C160" s="15">
        <v>-16</v>
      </c>
      <c r="D160" s="15">
        <v>-9.5</v>
      </c>
      <c r="E160" s="15">
        <v>-4</v>
      </c>
      <c r="F160" s="15">
        <v>-16</v>
      </c>
      <c r="G160" s="3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0.75</v>
      </c>
      <c r="Q160">
        <v>1</v>
      </c>
      <c r="R160">
        <v>1</v>
      </c>
      <c r="S160">
        <v>1</v>
      </c>
      <c r="T160">
        <f t="shared" si="21"/>
        <v>0</v>
      </c>
      <c r="U160">
        <f t="shared" si="22"/>
        <v>6.5</v>
      </c>
      <c r="V160">
        <f t="shared" si="23"/>
        <v>12</v>
      </c>
      <c r="W160">
        <f t="shared" si="24"/>
        <v>0</v>
      </c>
      <c r="X160">
        <f t="shared" si="25"/>
        <v>40</v>
      </c>
      <c r="Y160" t="str">
        <f>+VLOOKUP(A160,'[1]Tárgy kurzusai'!$A:$C,3,0)</f>
        <v>K:09:50-11:20(S.A.EA1)</v>
      </c>
      <c r="Z160">
        <f>+VLOOKUP(A160,'[1]Tárgy kurzusai'!$A:$F,6,0)</f>
        <v>2</v>
      </c>
      <c r="AA160" t="s">
        <v>49</v>
      </c>
      <c r="AB160" t="s">
        <v>71</v>
      </c>
      <c r="AC160" t="s">
        <v>74</v>
      </c>
      <c r="AD160" t="s">
        <v>60</v>
      </c>
      <c r="AE160" t="s">
        <v>69</v>
      </c>
      <c r="AF160" t="s">
        <v>69</v>
      </c>
      <c r="AG160" t="s">
        <v>55</v>
      </c>
      <c r="AH160" t="s">
        <v>55</v>
      </c>
      <c r="AI160" t="s">
        <v>56</v>
      </c>
      <c r="AJ160" t="s">
        <v>57</v>
      </c>
      <c r="AK160" t="s">
        <v>58</v>
      </c>
      <c r="AL160" t="s">
        <v>59</v>
      </c>
      <c r="AM160" t="s">
        <v>60</v>
      </c>
      <c r="AN160">
        <v>6</v>
      </c>
      <c r="AO160">
        <v>33</v>
      </c>
      <c r="AP160">
        <v>5</v>
      </c>
      <c r="AQ160">
        <v>4</v>
      </c>
      <c r="AR160" t="s">
        <v>55</v>
      </c>
      <c r="AS160" t="s">
        <v>61</v>
      </c>
      <c r="AT160" t="s">
        <v>55</v>
      </c>
      <c r="AU160" t="s">
        <v>62</v>
      </c>
      <c r="AV160" t="s">
        <v>63</v>
      </c>
      <c r="AW160" t="s">
        <v>60</v>
      </c>
      <c r="AX160" t="s">
        <v>60</v>
      </c>
      <c r="AY160">
        <v>4</v>
      </c>
      <c r="AZ160" t="s">
        <v>64</v>
      </c>
      <c r="BA160">
        <v>5</v>
      </c>
      <c r="BB160">
        <v>5</v>
      </c>
      <c r="BC160" t="s">
        <v>70</v>
      </c>
    </row>
    <row r="161" spans="1:55" x14ac:dyDescent="0.2">
      <c r="A161" s="14" t="s">
        <v>10</v>
      </c>
      <c r="B161" s="14" t="s">
        <v>3</v>
      </c>
      <c r="C161" s="15">
        <v>-6.5</v>
      </c>
      <c r="D161" s="15">
        <v>-0.5</v>
      </c>
      <c r="E161" s="15">
        <v>0</v>
      </c>
      <c r="F161" s="15">
        <v>-1</v>
      </c>
      <c r="G161" s="3">
        <v>-6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f t="shared" si="21"/>
        <v>9.5</v>
      </c>
      <c r="U161">
        <f t="shared" si="22"/>
        <v>15.5</v>
      </c>
      <c r="V161">
        <f t="shared" si="23"/>
        <v>16</v>
      </c>
      <c r="W161">
        <f t="shared" si="24"/>
        <v>15</v>
      </c>
      <c r="X161">
        <f t="shared" si="25"/>
        <v>34</v>
      </c>
      <c r="Y161" t="str">
        <f>+VLOOKUP(A161,'[1]Tárgy kurzusai'!$A:$C,3,0)</f>
        <v>K:09:50-11:20(S.A.EA1)</v>
      </c>
      <c r="Z161">
        <f>+VLOOKUP(A161,'[1]Tárgy kurzusai'!$A:$F,6,0)</f>
        <v>2</v>
      </c>
      <c r="AA161" t="s">
        <v>49</v>
      </c>
      <c r="AB161" t="s">
        <v>71</v>
      </c>
      <c r="AC161" t="s">
        <v>74</v>
      </c>
      <c r="AD161" t="s">
        <v>60</v>
      </c>
      <c r="AE161" t="s">
        <v>69</v>
      </c>
      <c r="AF161" t="s">
        <v>69</v>
      </c>
      <c r="AG161" t="s">
        <v>55</v>
      </c>
      <c r="AH161" t="s">
        <v>55</v>
      </c>
      <c r="AI161" t="s">
        <v>56</v>
      </c>
      <c r="AJ161" t="s">
        <v>57</v>
      </c>
      <c r="AK161" t="s">
        <v>79</v>
      </c>
      <c r="AL161" t="s">
        <v>59</v>
      </c>
      <c r="AM161" t="s">
        <v>60</v>
      </c>
      <c r="AN161">
        <v>8</v>
      </c>
      <c r="AO161">
        <v>39</v>
      </c>
      <c r="AP161">
        <v>6</v>
      </c>
      <c r="AQ161">
        <v>15</v>
      </c>
      <c r="AR161" t="s">
        <v>55</v>
      </c>
      <c r="AS161" t="s">
        <v>61</v>
      </c>
      <c r="AT161" t="s">
        <v>56</v>
      </c>
      <c r="AU161" t="s">
        <v>62</v>
      </c>
      <c r="AV161" t="s">
        <v>63</v>
      </c>
      <c r="AW161" t="s">
        <v>60</v>
      </c>
      <c r="AX161" t="s">
        <v>60</v>
      </c>
      <c r="AY161">
        <v>5</v>
      </c>
      <c r="AZ161" t="s">
        <v>64</v>
      </c>
      <c r="BA161">
        <v>9</v>
      </c>
      <c r="BB161">
        <v>6</v>
      </c>
      <c r="BC161" t="s">
        <v>65</v>
      </c>
    </row>
    <row r="162" spans="1:55" x14ac:dyDescent="0.2">
      <c r="A162" s="14" t="s">
        <v>10</v>
      </c>
      <c r="B162" s="14" t="s">
        <v>3</v>
      </c>
      <c r="C162" s="15">
        <v>-4.5</v>
      </c>
      <c r="D162" s="15">
        <v>-4</v>
      </c>
      <c r="E162" s="15">
        <v>-16</v>
      </c>
      <c r="F162" s="15">
        <v>-4</v>
      </c>
      <c r="G162" s="3">
        <v>-21</v>
      </c>
      <c r="H162">
        <v>0.75</v>
      </c>
      <c r="I162">
        <v>1</v>
      </c>
      <c r="J162">
        <v>1</v>
      </c>
      <c r="K162">
        <v>0.75</v>
      </c>
      <c r="L162">
        <v>0.5</v>
      </c>
      <c r="M162">
        <v>0</v>
      </c>
      <c r="N162">
        <v>0.75</v>
      </c>
      <c r="O162">
        <v>0.5</v>
      </c>
      <c r="P162">
        <v>1</v>
      </c>
      <c r="Q162">
        <v>1</v>
      </c>
      <c r="R162">
        <v>1</v>
      </c>
      <c r="S162">
        <v>1</v>
      </c>
      <c r="T162">
        <f t="shared" si="21"/>
        <v>11.5</v>
      </c>
      <c r="U162">
        <f t="shared" si="22"/>
        <v>12</v>
      </c>
      <c r="V162">
        <f t="shared" si="23"/>
        <v>0</v>
      </c>
      <c r="W162">
        <f t="shared" si="24"/>
        <v>12</v>
      </c>
      <c r="X162">
        <f t="shared" si="25"/>
        <v>19</v>
      </c>
      <c r="Y162" t="str">
        <f>+VLOOKUP(A162,'[1]Tárgy kurzusai'!$A:$C,3,0)</f>
        <v>K:09:50-11:20(S.A.EA1)</v>
      </c>
      <c r="Z162">
        <f>+VLOOKUP(A162,'[1]Tárgy kurzusai'!$A:$F,6,0)</f>
        <v>2</v>
      </c>
      <c r="AA162" t="s">
        <v>66</v>
      </c>
      <c r="AB162" t="s">
        <v>80</v>
      </c>
      <c r="AC162" t="s">
        <v>72</v>
      </c>
      <c r="AD162" t="s">
        <v>90</v>
      </c>
      <c r="AE162" t="s">
        <v>69</v>
      </c>
      <c r="AF162" t="s">
        <v>69</v>
      </c>
      <c r="AG162" t="s">
        <v>55</v>
      </c>
      <c r="AH162" t="s">
        <v>55</v>
      </c>
      <c r="AI162" t="s">
        <v>55</v>
      </c>
      <c r="AJ162" t="s">
        <v>57</v>
      </c>
      <c r="AK162" t="s">
        <v>79</v>
      </c>
      <c r="AL162" t="s">
        <v>59</v>
      </c>
      <c r="AM162" t="s">
        <v>60</v>
      </c>
      <c r="AN162">
        <v>7</v>
      </c>
      <c r="AO162">
        <v>31</v>
      </c>
      <c r="AP162">
        <v>5</v>
      </c>
      <c r="AQ162">
        <v>13</v>
      </c>
      <c r="AR162" t="s">
        <v>55</v>
      </c>
      <c r="AS162" t="s">
        <v>61</v>
      </c>
      <c r="AT162" t="s">
        <v>56</v>
      </c>
      <c r="AU162" t="s">
        <v>62</v>
      </c>
      <c r="AV162" t="s">
        <v>63</v>
      </c>
      <c r="AW162" t="s">
        <v>60</v>
      </c>
      <c r="AX162" t="s">
        <v>60</v>
      </c>
      <c r="AY162">
        <v>3</v>
      </c>
      <c r="AZ162" t="s">
        <v>64</v>
      </c>
      <c r="BA162">
        <v>8</v>
      </c>
      <c r="BB162">
        <v>8</v>
      </c>
      <c r="BC162" t="s">
        <v>76</v>
      </c>
    </row>
    <row r="163" spans="1:55" x14ac:dyDescent="0.2">
      <c r="A163" s="14" t="s">
        <v>10</v>
      </c>
      <c r="B163" s="14" t="s">
        <v>3</v>
      </c>
      <c r="C163" s="15">
        <v>-10</v>
      </c>
      <c r="D163" s="15">
        <v>-4.5</v>
      </c>
      <c r="E163" s="15">
        <v>-16</v>
      </c>
      <c r="F163" s="15">
        <v>-16</v>
      </c>
      <c r="G163" s="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0.75</v>
      </c>
      <c r="R163">
        <v>1</v>
      </c>
      <c r="S163">
        <v>1</v>
      </c>
      <c r="T163">
        <f t="shared" si="21"/>
        <v>6</v>
      </c>
      <c r="U163">
        <f t="shared" si="22"/>
        <v>11.5</v>
      </c>
      <c r="V163">
        <f t="shared" si="23"/>
        <v>0</v>
      </c>
      <c r="W163">
        <f t="shared" si="24"/>
        <v>0</v>
      </c>
      <c r="X163">
        <f t="shared" si="25"/>
        <v>40</v>
      </c>
      <c r="Y163" t="str">
        <f>+VLOOKUP(A163,'[1]Tárgy kurzusai'!$A:$C,3,0)</f>
        <v>K:09:50-11:20(S.A.EA1)</v>
      </c>
      <c r="Z163">
        <f>+VLOOKUP(A163,'[1]Tárgy kurzusai'!$A:$F,6,0)</f>
        <v>2</v>
      </c>
      <c r="AA163" t="s">
        <v>66</v>
      </c>
      <c r="AB163" t="s">
        <v>71</v>
      </c>
      <c r="AC163" t="s">
        <v>74</v>
      </c>
      <c r="AD163" t="s">
        <v>60</v>
      </c>
      <c r="AE163" t="s">
        <v>69</v>
      </c>
      <c r="AF163" t="s">
        <v>69</v>
      </c>
      <c r="AG163" t="s">
        <v>55</v>
      </c>
      <c r="AH163" t="s">
        <v>55</v>
      </c>
      <c r="AI163" t="s">
        <v>55</v>
      </c>
      <c r="AJ163" t="s">
        <v>60</v>
      </c>
      <c r="AK163" t="s">
        <v>58</v>
      </c>
      <c r="AL163" t="s">
        <v>96</v>
      </c>
      <c r="AM163">
        <v>0</v>
      </c>
      <c r="AN163">
        <v>7</v>
      </c>
      <c r="AO163">
        <v>34</v>
      </c>
      <c r="AP163">
        <v>4</v>
      </c>
      <c r="AQ163">
        <v>12</v>
      </c>
      <c r="AR163" t="s">
        <v>55</v>
      </c>
      <c r="AS163" t="s">
        <v>61</v>
      </c>
      <c r="AT163" t="s">
        <v>56</v>
      </c>
      <c r="AU163" t="s">
        <v>62</v>
      </c>
      <c r="AV163" t="s">
        <v>63</v>
      </c>
      <c r="AW163" t="s">
        <v>60</v>
      </c>
      <c r="AX163" t="s">
        <v>60</v>
      </c>
      <c r="AY163">
        <v>3</v>
      </c>
      <c r="AZ163" t="s">
        <v>78</v>
      </c>
      <c r="BA163">
        <v>7</v>
      </c>
      <c r="BB163">
        <v>8</v>
      </c>
      <c r="BC163" t="s">
        <v>70</v>
      </c>
    </row>
    <row r="164" spans="1:55" x14ac:dyDescent="0.2">
      <c r="A164" s="14" t="s">
        <v>10</v>
      </c>
      <c r="B164" s="14" t="s">
        <v>3</v>
      </c>
      <c r="C164" s="15">
        <v>-6.5</v>
      </c>
      <c r="D164" s="15">
        <v>-1.5</v>
      </c>
      <c r="E164" s="15">
        <v>-1</v>
      </c>
      <c r="F164" s="15">
        <v>-0.5</v>
      </c>
      <c r="G164" s="3">
        <v>-12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0.75</v>
      </c>
      <c r="O164">
        <v>1</v>
      </c>
      <c r="P164">
        <v>1</v>
      </c>
      <c r="Q164">
        <v>0.5</v>
      </c>
      <c r="R164">
        <v>1</v>
      </c>
      <c r="S164">
        <v>1</v>
      </c>
      <c r="T164">
        <f t="shared" si="21"/>
        <v>9.5</v>
      </c>
      <c r="U164">
        <f t="shared" si="22"/>
        <v>14.5</v>
      </c>
      <c r="V164">
        <f t="shared" si="23"/>
        <v>15</v>
      </c>
      <c r="W164">
        <f t="shared" si="24"/>
        <v>15.5</v>
      </c>
      <c r="X164">
        <f t="shared" si="25"/>
        <v>28</v>
      </c>
      <c r="Y164" t="str">
        <f>+VLOOKUP(A164,'[1]Tárgy kurzusai'!$A:$C,3,0)</f>
        <v>K:09:50-11:20(S.A.EA1)</v>
      </c>
      <c r="Z164">
        <f>+VLOOKUP(A164,'[1]Tárgy kurzusai'!$A:$F,6,0)</f>
        <v>2</v>
      </c>
      <c r="AA164" t="s">
        <v>49</v>
      </c>
      <c r="AB164" t="s">
        <v>71</v>
      </c>
      <c r="AC164" t="s">
        <v>74</v>
      </c>
      <c r="AD164" t="s">
        <v>60</v>
      </c>
      <c r="AE164" t="s">
        <v>69</v>
      </c>
      <c r="AF164" t="s">
        <v>69</v>
      </c>
      <c r="AG164" t="s">
        <v>55</v>
      </c>
      <c r="AH164" t="s">
        <v>55</v>
      </c>
      <c r="AI164" t="s">
        <v>56</v>
      </c>
      <c r="AJ164" t="s">
        <v>60</v>
      </c>
      <c r="AK164" t="s">
        <v>58</v>
      </c>
      <c r="AL164" t="s">
        <v>59</v>
      </c>
      <c r="AM164" t="s">
        <v>60</v>
      </c>
      <c r="AN164">
        <v>7</v>
      </c>
      <c r="AO164">
        <v>37</v>
      </c>
      <c r="AP164">
        <v>5</v>
      </c>
      <c r="AQ164">
        <v>13</v>
      </c>
      <c r="AR164" t="s">
        <v>55</v>
      </c>
      <c r="AS164" t="s">
        <v>61</v>
      </c>
      <c r="AT164" t="s">
        <v>55</v>
      </c>
      <c r="AU164" t="s">
        <v>60</v>
      </c>
      <c r="AV164" t="s">
        <v>60</v>
      </c>
      <c r="AW164" t="s">
        <v>60</v>
      </c>
      <c r="AX164" t="s">
        <v>60</v>
      </c>
      <c r="AY164">
        <v>3</v>
      </c>
      <c r="AZ164" t="s">
        <v>78</v>
      </c>
      <c r="BA164">
        <v>7</v>
      </c>
      <c r="BB164">
        <v>4</v>
      </c>
      <c r="BC164" t="s">
        <v>82</v>
      </c>
    </row>
    <row r="165" spans="1:55" x14ac:dyDescent="0.2">
      <c r="A165" s="14" t="s">
        <v>10</v>
      </c>
      <c r="B165" s="14" t="s">
        <v>3</v>
      </c>
      <c r="C165" s="15">
        <v>-16</v>
      </c>
      <c r="D165" s="15">
        <v>-16</v>
      </c>
      <c r="E165" s="15">
        <v>-16</v>
      </c>
      <c r="F165" s="15">
        <v>-16</v>
      </c>
      <c r="G165" s="3">
        <v>0</v>
      </c>
      <c r="H165">
        <v>0.75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0.75</v>
      </c>
      <c r="O165">
        <v>1</v>
      </c>
      <c r="P165">
        <v>0.75</v>
      </c>
      <c r="Q165">
        <v>0.5</v>
      </c>
      <c r="R165">
        <v>1</v>
      </c>
      <c r="S165">
        <v>1</v>
      </c>
      <c r="T165">
        <f t="shared" si="21"/>
        <v>0</v>
      </c>
      <c r="U165">
        <f t="shared" si="22"/>
        <v>0</v>
      </c>
      <c r="V165">
        <f t="shared" si="23"/>
        <v>0</v>
      </c>
      <c r="W165">
        <f t="shared" si="24"/>
        <v>0</v>
      </c>
      <c r="X165">
        <f t="shared" si="25"/>
        <v>40</v>
      </c>
      <c r="Y165" t="str">
        <f>+VLOOKUP(A165,'[1]Tárgy kurzusai'!$A:$C,3,0)</f>
        <v>K:09:50-11:20(S.A.EA1)</v>
      </c>
      <c r="Z165">
        <f>+VLOOKUP(A165,'[1]Tárgy kurzusai'!$A:$F,6,0)</f>
        <v>2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</row>
    <row r="166" spans="1:55" x14ac:dyDescent="0.2">
      <c r="A166" s="14" t="s">
        <v>10</v>
      </c>
      <c r="B166" s="14" t="s">
        <v>3</v>
      </c>
      <c r="C166" s="15">
        <v>-3.5</v>
      </c>
      <c r="D166" s="15">
        <v>-2</v>
      </c>
      <c r="E166" s="15">
        <v>-2.5</v>
      </c>
      <c r="F166" s="15">
        <v>-1.5</v>
      </c>
      <c r="G166" s="3">
        <v>-12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f t="shared" si="21"/>
        <v>12.5</v>
      </c>
      <c r="U166">
        <f t="shared" si="22"/>
        <v>14</v>
      </c>
      <c r="V166">
        <f t="shared" si="23"/>
        <v>13.5</v>
      </c>
      <c r="W166">
        <f t="shared" si="24"/>
        <v>14.5</v>
      </c>
      <c r="X166">
        <f t="shared" si="25"/>
        <v>28</v>
      </c>
      <c r="Y166" t="str">
        <f>+VLOOKUP(A166,'[1]Tárgy kurzusai'!$A:$C,3,0)</f>
        <v>K:09:50-11:20(S.A.EA1)</v>
      </c>
      <c r="Z166">
        <f>+VLOOKUP(A166,'[1]Tárgy kurzusai'!$A:$F,6,0)</f>
        <v>2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</row>
    <row r="167" spans="1:55" x14ac:dyDescent="0.2">
      <c r="A167" s="14" t="s">
        <v>10</v>
      </c>
      <c r="B167" s="14" t="s">
        <v>3</v>
      </c>
      <c r="C167" s="15">
        <v>-8</v>
      </c>
      <c r="D167" s="15">
        <v>-7.5</v>
      </c>
      <c r="E167" s="15">
        <v>-2.5</v>
      </c>
      <c r="F167" s="15">
        <v>-1</v>
      </c>
      <c r="G167" s="3">
        <v>-6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0.75</v>
      </c>
      <c r="R167">
        <v>1</v>
      </c>
      <c r="S167">
        <v>1</v>
      </c>
      <c r="T167">
        <f t="shared" si="21"/>
        <v>8</v>
      </c>
      <c r="U167">
        <f t="shared" si="22"/>
        <v>8.5</v>
      </c>
      <c r="V167">
        <f t="shared" si="23"/>
        <v>13.5</v>
      </c>
      <c r="W167">
        <f t="shared" si="24"/>
        <v>15</v>
      </c>
      <c r="X167">
        <f t="shared" si="25"/>
        <v>34</v>
      </c>
      <c r="Y167" t="str">
        <f>+VLOOKUP(A167,'[1]Tárgy kurzusai'!$A:$C,3,0)</f>
        <v>K:09:50-11:20(S.A.EA1)</v>
      </c>
      <c r="Z167">
        <f>+VLOOKUP(A167,'[1]Tárgy kurzusai'!$A:$F,6,0)</f>
        <v>2</v>
      </c>
      <c r="AA167" t="s">
        <v>66</v>
      </c>
      <c r="AB167" t="s">
        <v>60</v>
      </c>
      <c r="AC167" t="s">
        <v>74</v>
      </c>
      <c r="AD167" t="s">
        <v>60</v>
      </c>
      <c r="AE167" t="s">
        <v>69</v>
      </c>
      <c r="AF167" t="s">
        <v>69</v>
      </c>
      <c r="AG167" t="s">
        <v>55</v>
      </c>
      <c r="AH167" t="s">
        <v>55</v>
      </c>
      <c r="AI167" t="s">
        <v>55</v>
      </c>
      <c r="AJ167" t="s">
        <v>57</v>
      </c>
      <c r="AK167" t="s">
        <v>58</v>
      </c>
      <c r="AL167" t="s">
        <v>59</v>
      </c>
      <c r="AM167" t="s">
        <v>60</v>
      </c>
      <c r="AN167">
        <v>6</v>
      </c>
      <c r="AO167">
        <v>33</v>
      </c>
      <c r="AP167">
        <v>5</v>
      </c>
      <c r="AQ167">
        <v>13</v>
      </c>
      <c r="AR167" t="s">
        <v>55</v>
      </c>
      <c r="AS167" t="s">
        <v>55</v>
      </c>
      <c r="AT167" t="s">
        <v>56</v>
      </c>
      <c r="AU167" t="s">
        <v>62</v>
      </c>
      <c r="AV167" t="s">
        <v>63</v>
      </c>
      <c r="AW167" t="s">
        <v>60</v>
      </c>
      <c r="AX167" t="s">
        <v>60</v>
      </c>
      <c r="AY167">
        <v>3</v>
      </c>
      <c r="AZ167" t="s">
        <v>78</v>
      </c>
      <c r="BA167">
        <v>6</v>
      </c>
      <c r="BB167">
        <v>7</v>
      </c>
      <c r="BC167" t="s">
        <v>65</v>
      </c>
    </row>
    <row r="168" spans="1:55" x14ac:dyDescent="0.2">
      <c r="A168" s="14" t="s">
        <v>10</v>
      </c>
      <c r="B168" s="14" t="s">
        <v>3</v>
      </c>
      <c r="C168" s="15">
        <v>-5.5</v>
      </c>
      <c r="D168" s="15">
        <v>-6</v>
      </c>
      <c r="E168" s="15">
        <v>-7</v>
      </c>
      <c r="F168" s="15">
        <v>-6.5</v>
      </c>
      <c r="G168" s="3">
        <v>-13.5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0.33</v>
      </c>
      <c r="P168">
        <v>1</v>
      </c>
      <c r="Q168">
        <v>0.75</v>
      </c>
      <c r="R168">
        <v>1</v>
      </c>
      <c r="S168">
        <v>1</v>
      </c>
      <c r="T168">
        <f t="shared" si="21"/>
        <v>10.5</v>
      </c>
      <c r="U168">
        <f t="shared" si="22"/>
        <v>10</v>
      </c>
      <c r="V168">
        <f t="shared" si="23"/>
        <v>9</v>
      </c>
      <c r="W168">
        <f t="shared" si="24"/>
        <v>9.5</v>
      </c>
      <c r="X168">
        <f t="shared" si="25"/>
        <v>26.5</v>
      </c>
      <c r="Y168" t="str">
        <f>+VLOOKUP(A168,'[1]Tárgy kurzusai'!$A:$C,3,0)</f>
        <v>K:09:50-11:20(S.A.EA1)</v>
      </c>
      <c r="Z168">
        <f>+VLOOKUP(A168,'[1]Tárgy kurzusai'!$A:$F,6,0)</f>
        <v>2</v>
      </c>
      <c r="AA168" t="s">
        <v>66</v>
      </c>
      <c r="AB168" t="s">
        <v>71</v>
      </c>
      <c r="AC168" t="s">
        <v>74</v>
      </c>
      <c r="AD168" t="s">
        <v>60</v>
      </c>
      <c r="AE168" t="s">
        <v>53</v>
      </c>
      <c r="AF168" t="s">
        <v>54</v>
      </c>
      <c r="AG168" t="s">
        <v>55</v>
      </c>
      <c r="AH168" t="s">
        <v>55</v>
      </c>
      <c r="AI168" t="s">
        <v>56</v>
      </c>
      <c r="AJ168" t="s">
        <v>57</v>
      </c>
      <c r="AK168" t="s">
        <v>58</v>
      </c>
      <c r="AL168" t="s">
        <v>59</v>
      </c>
      <c r="AM168" t="s">
        <v>60</v>
      </c>
      <c r="AN168">
        <v>8</v>
      </c>
      <c r="AO168">
        <v>40</v>
      </c>
      <c r="AP168">
        <v>5</v>
      </c>
      <c r="AQ168">
        <v>14</v>
      </c>
      <c r="AR168" t="s">
        <v>55</v>
      </c>
      <c r="AS168" t="s">
        <v>55</v>
      </c>
      <c r="AT168" t="s">
        <v>56</v>
      </c>
      <c r="AU168" t="s">
        <v>62</v>
      </c>
      <c r="AV168" t="s">
        <v>63</v>
      </c>
      <c r="AW168" t="s">
        <v>60</v>
      </c>
      <c r="AX168" t="s">
        <v>60</v>
      </c>
      <c r="AY168">
        <v>5</v>
      </c>
      <c r="AZ168" t="s">
        <v>64</v>
      </c>
      <c r="BA168">
        <v>10</v>
      </c>
      <c r="BB168">
        <v>8</v>
      </c>
      <c r="BC168" t="s">
        <v>70</v>
      </c>
    </row>
    <row r="169" spans="1:55" x14ac:dyDescent="0.2">
      <c r="A169" s="14" t="s">
        <v>10</v>
      </c>
      <c r="B169" s="14" t="s">
        <v>3</v>
      </c>
      <c r="C169" s="15">
        <v>0</v>
      </c>
      <c r="D169" s="15">
        <v>-1.5</v>
      </c>
      <c r="E169" s="15">
        <v>-1.5</v>
      </c>
      <c r="F169" s="15">
        <v>-2.5</v>
      </c>
      <c r="G169" s="3">
        <v>-4.5</v>
      </c>
      <c r="H169">
        <v>0.75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0.75</v>
      </c>
      <c r="R169">
        <v>1</v>
      </c>
      <c r="S169">
        <v>1</v>
      </c>
      <c r="T169">
        <f t="shared" si="21"/>
        <v>16</v>
      </c>
      <c r="U169">
        <f t="shared" si="22"/>
        <v>14.5</v>
      </c>
      <c r="V169">
        <f t="shared" si="23"/>
        <v>14.5</v>
      </c>
      <c r="W169">
        <f t="shared" si="24"/>
        <v>13.5</v>
      </c>
      <c r="X169">
        <f t="shared" si="25"/>
        <v>35.5</v>
      </c>
      <c r="Y169" t="str">
        <f>+VLOOKUP(A169,'[1]Tárgy kurzusai'!$A:$C,3,0)</f>
        <v>K:09:50-11:20(S.A.EA1)</v>
      </c>
      <c r="Z169">
        <f>+VLOOKUP(A169,'[1]Tárgy kurzusai'!$A:$F,6,0)</f>
        <v>2</v>
      </c>
      <c r="AA169" t="s">
        <v>49</v>
      </c>
      <c r="AB169" t="s">
        <v>71</v>
      </c>
      <c r="AC169" t="s">
        <v>51</v>
      </c>
      <c r="AD169" t="s">
        <v>108</v>
      </c>
      <c r="AE169" t="s">
        <v>69</v>
      </c>
      <c r="AF169" t="s">
        <v>69</v>
      </c>
      <c r="AG169" t="s">
        <v>55</v>
      </c>
      <c r="AH169" t="s">
        <v>55</v>
      </c>
      <c r="AI169" t="s">
        <v>55</v>
      </c>
      <c r="AJ169" t="s">
        <v>57</v>
      </c>
      <c r="AK169" t="s">
        <v>58</v>
      </c>
      <c r="AL169" t="s">
        <v>59</v>
      </c>
      <c r="AM169" t="s">
        <v>60</v>
      </c>
      <c r="AN169">
        <v>7</v>
      </c>
      <c r="AO169">
        <v>34</v>
      </c>
      <c r="AP169">
        <v>5</v>
      </c>
      <c r="AQ169">
        <v>14</v>
      </c>
      <c r="AR169" t="s">
        <v>55</v>
      </c>
      <c r="AS169" t="s">
        <v>55</v>
      </c>
      <c r="AT169" t="s">
        <v>56</v>
      </c>
      <c r="AU169" t="s">
        <v>62</v>
      </c>
      <c r="AV169" t="s">
        <v>63</v>
      </c>
      <c r="AW169" t="s">
        <v>60</v>
      </c>
      <c r="AX169" t="s">
        <v>60</v>
      </c>
      <c r="AY169" t="s">
        <v>60</v>
      </c>
      <c r="AZ169" t="s">
        <v>64</v>
      </c>
      <c r="BA169">
        <v>9</v>
      </c>
      <c r="BB169">
        <v>8</v>
      </c>
      <c r="BC169" t="s">
        <v>76</v>
      </c>
    </row>
    <row r="170" spans="1:55" x14ac:dyDescent="0.2">
      <c r="A170" s="14" t="s">
        <v>10</v>
      </c>
      <c r="B170" s="14" t="s">
        <v>3</v>
      </c>
      <c r="C170" s="15">
        <v>-7.5</v>
      </c>
      <c r="D170" s="15">
        <v>-2</v>
      </c>
      <c r="E170" s="15">
        <v>-7</v>
      </c>
      <c r="F170" s="15">
        <v>-5</v>
      </c>
      <c r="G170" s="3">
        <v>-12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0.75</v>
      </c>
      <c r="R170">
        <v>1</v>
      </c>
      <c r="S170">
        <v>1</v>
      </c>
      <c r="T170">
        <f t="shared" si="21"/>
        <v>8.5</v>
      </c>
      <c r="U170">
        <f t="shared" si="22"/>
        <v>14</v>
      </c>
      <c r="V170">
        <f t="shared" si="23"/>
        <v>9</v>
      </c>
      <c r="W170">
        <f t="shared" si="24"/>
        <v>11</v>
      </c>
      <c r="X170">
        <f t="shared" si="25"/>
        <v>28</v>
      </c>
      <c r="Y170" t="str">
        <f>+VLOOKUP(A170,'[1]Tárgy kurzusai'!$A:$C,3,0)</f>
        <v>K:09:50-11:20(S.A.EA1)</v>
      </c>
      <c r="Z170">
        <f>+VLOOKUP(A170,'[1]Tárgy kurzusai'!$A:$F,6,0)</f>
        <v>2</v>
      </c>
      <c r="AA170" t="s">
        <v>66</v>
      </c>
      <c r="AB170" t="s">
        <v>71</v>
      </c>
      <c r="AC170" t="s">
        <v>75</v>
      </c>
      <c r="AD170" t="s">
        <v>68</v>
      </c>
      <c r="AE170" t="s">
        <v>69</v>
      </c>
      <c r="AF170" t="s">
        <v>69</v>
      </c>
      <c r="AG170" t="s">
        <v>55</v>
      </c>
      <c r="AH170" t="s">
        <v>55</v>
      </c>
      <c r="AI170" t="s">
        <v>55</v>
      </c>
      <c r="AJ170" t="s">
        <v>57</v>
      </c>
      <c r="AK170" t="s">
        <v>58</v>
      </c>
      <c r="AL170" t="s">
        <v>59</v>
      </c>
      <c r="AM170" t="s">
        <v>60</v>
      </c>
      <c r="AN170">
        <v>8</v>
      </c>
      <c r="AO170">
        <v>37</v>
      </c>
      <c r="AP170">
        <v>7</v>
      </c>
      <c r="AQ170">
        <v>14</v>
      </c>
      <c r="AR170" t="s">
        <v>55</v>
      </c>
      <c r="AS170" t="s">
        <v>61</v>
      </c>
      <c r="AT170" t="s">
        <v>56</v>
      </c>
      <c r="AU170" t="s">
        <v>62</v>
      </c>
      <c r="AV170" t="s">
        <v>63</v>
      </c>
      <c r="AW170" t="s">
        <v>60</v>
      </c>
      <c r="AX170" t="s">
        <v>60</v>
      </c>
      <c r="AY170">
        <v>4</v>
      </c>
      <c r="AZ170" t="s">
        <v>64</v>
      </c>
      <c r="BA170">
        <v>4</v>
      </c>
      <c r="BB170">
        <v>6</v>
      </c>
      <c r="BC170" t="s">
        <v>65</v>
      </c>
    </row>
    <row r="171" spans="1:55" x14ac:dyDescent="0.2">
      <c r="A171" s="14" t="s">
        <v>10</v>
      </c>
      <c r="B171" s="14" t="s">
        <v>3</v>
      </c>
      <c r="C171" s="15">
        <v>-4.5</v>
      </c>
      <c r="D171" s="15">
        <v>0</v>
      </c>
      <c r="E171" s="15">
        <v>-2.5</v>
      </c>
      <c r="F171" s="15">
        <v>-16</v>
      </c>
      <c r="G171" s="3">
        <v>-13.5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0.33</v>
      </c>
      <c r="P171">
        <v>1</v>
      </c>
      <c r="Q171">
        <v>0.5</v>
      </c>
      <c r="R171">
        <v>1</v>
      </c>
      <c r="S171">
        <v>1</v>
      </c>
      <c r="T171">
        <f t="shared" si="21"/>
        <v>11.5</v>
      </c>
      <c r="U171">
        <f t="shared" si="22"/>
        <v>16</v>
      </c>
      <c r="V171">
        <f t="shared" si="23"/>
        <v>13.5</v>
      </c>
      <c r="W171">
        <f t="shared" si="24"/>
        <v>0</v>
      </c>
      <c r="X171">
        <f t="shared" si="25"/>
        <v>26.5</v>
      </c>
      <c r="Y171" t="str">
        <f>+VLOOKUP(A171,'[1]Tárgy kurzusai'!$A:$C,3,0)</f>
        <v>K:09:50-11:20(S.A.EA1)</v>
      </c>
      <c r="Z171">
        <f>+VLOOKUP(A171,'[1]Tárgy kurzusai'!$A:$F,6,0)</f>
        <v>2</v>
      </c>
      <c r="AA171" t="s">
        <v>66</v>
      </c>
      <c r="AB171" t="s">
        <v>71</v>
      </c>
      <c r="AC171" t="s">
        <v>72</v>
      </c>
      <c r="AD171" t="s">
        <v>73</v>
      </c>
      <c r="AE171" t="s">
        <v>69</v>
      </c>
      <c r="AF171" t="s">
        <v>69</v>
      </c>
      <c r="AG171" t="s">
        <v>55</v>
      </c>
      <c r="AH171" t="s">
        <v>55</v>
      </c>
      <c r="AI171" t="s">
        <v>55</v>
      </c>
      <c r="AJ171" t="s">
        <v>57</v>
      </c>
      <c r="AK171" t="s">
        <v>58</v>
      </c>
      <c r="AL171" t="s">
        <v>59</v>
      </c>
      <c r="AM171" t="s">
        <v>60</v>
      </c>
      <c r="AN171">
        <v>6</v>
      </c>
      <c r="AO171">
        <v>34</v>
      </c>
      <c r="AP171">
        <v>5</v>
      </c>
      <c r="AQ171">
        <v>13</v>
      </c>
      <c r="AR171" t="s">
        <v>55</v>
      </c>
      <c r="AS171" t="s">
        <v>55</v>
      </c>
      <c r="AT171" t="s">
        <v>56</v>
      </c>
      <c r="AU171" t="s">
        <v>62</v>
      </c>
      <c r="AV171" t="s">
        <v>63</v>
      </c>
      <c r="AW171" t="s">
        <v>60</v>
      </c>
      <c r="AX171" t="s">
        <v>60</v>
      </c>
      <c r="AY171">
        <v>3</v>
      </c>
      <c r="AZ171" t="s">
        <v>64</v>
      </c>
      <c r="BA171">
        <v>5</v>
      </c>
      <c r="BB171">
        <v>5</v>
      </c>
      <c r="BC171" t="s">
        <v>76</v>
      </c>
    </row>
    <row r="172" spans="1:55" x14ac:dyDescent="0.2">
      <c r="A172" s="14" t="s">
        <v>10</v>
      </c>
      <c r="B172" s="14" t="s">
        <v>3</v>
      </c>
      <c r="C172" s="15">
        <v>-6</v>
      </c>
      <c r="D172" s="15">
        <v>-3</v>
      </c>
      <c r="E172" s="15">
        <v>-4.5</v>
      </c>
      <c r="F172" s="15">
        <v>-3</v>
      </c>
      <c r="G172" s="3">
        <v>-10.5</v>
      </c>
      <c r="H172">
        <v>0.75</v>
      </c>
      <c r="I172">
        <v>1</v>
      </c>
      <c r="J172">
        <v>1</v>
      </c>
      <c r="K172">
        <v>1</v>
      </c>
      <c r="L172">
        <v>0.5</v>
      </c>
      <c r="M172">
        <v>1</v>
      </c>
      <c r="N172">
        <v>1</v>
      </c>
      <c r="O172">
        <v>1</v>
      </c>
      <c r="P172">
        <v>1</v>
      </c>
      <c r="Q172">
        <v>0.75</v>
      </c>
      <c r="R172">
        <v>1</v>
      </c>
      <c r="S172">
        <v>1</v>
      </c>
      <c r="T172">
        <f t="shared" si="21"/>
        <v>10</v>
      </c>
      <c r="U172">
        <f t="shared" si="22"/>
        <v>13</v>
      </c>
      <c r="V172">
        <f t="shared" si="23"/>
        <v>11.5</v>
      </c>
      <c r="W172">
        <f t="shared" si="24"/>
        <v>13</v>
      </c>
      <c r="X172">
        <f t="shared" si="25"/>
        <v>29.5</v>
      </c>
      <c r="Y172" t="str">
        <f>+VLOOKUP(A172,'[1]Tárgy kurzusai'!$A:$C,3,0)</f>
        <v>K:09:50-11:20(S.A.EA1)</v>
      </c>
      <c r="Z172">
        <f>+VLOOKUP(A172,'[1]Tárgy kurzusai'!$A:$F,6,0)</f>
        <v>2</v>
      </c>
      <c r="AA172" t="s">
        <v>49</v>
      </c>
      <c r="AB172" t="s">
        <v>71</v>
      </c>
      <c r="AC172" t="s">
        <v>75</v>
      </c>
      <c r="AD172" t="s">
        <v>92</v>
      </c>
      <c r="AE172" t="s">
        <v>69</v>
      </c>
      <c r="AF172" t="s">
        <v>53</v>
      </c>
      <c r="AG172" t="s">
        <v>55</v>
      </c>
      <c r="AH172" t="s">
        <v>55</v>
      </c>
      <c r="AI172" t="s">
        <v>55</v>
      </c>
      <c r="AJ172" t="s">
        <v>57</v>
      </c>
      <c r="AK172" t="s">
        <v>58</v>
      </c>
      <c r="AL172" t="s">
        <v>59</v>
      </c>
      <c r="AM172" t="s">
        <v>60</v>
      </c>
      <c r="AN172">
        <v>6</v>
      </c>
      <c r="AO172">
        <v>30</v>
      </c>
      <c r="AP172">
        <v>5</v>
      </c>
      <c r="AQ172">
        <v>6</v>
      </c>
      <c r="AR172" t="s">
        <v>55</v>
      </c>
      <c r="AS172" t="s">
        <v>61</v>
      </c>
      <c r="AT172" t="s">
        <v>55</v>
      </c>
      <c r="AU172" t="s">
        <v>62</v>
      </c>
      <c r="AV172" t="s">
        <v>63</v>
      </c>
      <c r="AW172" t="s">
        <v>60</v>
      </c>
      <c r="AX172" t="s">
        <v>60</v>
      </c>
      <c r="AY172">
        <v>2</v>
      </c>
      <c r="AZ172" t="s">
        <v>78</v>
      </c>
      <c r="BA172">
        <v>8</v>
      </c>
      <c r="BB172">
        <v>5</v>
      </c>
      <c r="BC172" t="s">
        <v>70</v>
      </c>
    </row>
    <row r="173" spans="1:55" x14ac:dyDescent="0.2">
      <c r="A173" s="14" t="s">
        <v>10</v>
      </c>
      <c r="B173" s="14" t="s">
        <v>3</v>
      </c>
      <c r="C173" s="15">
        <v>-0.5</v>
      </c>
      <c r="D173" s="15">
        <v>-4.5</v>
      </c>
      <c r="E173" s="15">
        <v>-3.5</v>
      </c>
      <c r="F173" s="15">
        <v>-7.5</v>
      </c>
      <c r="G173" s="3">
        <v>-6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0.5</v>
      </c>
      <c r="P173">
        <v>1</v>
      </c>
      <c r="Q173">
        <v>0.25</v>
      </c>
      <c r="R173">
        <v>1</v>
      </c>
      <c r="S173">
        <v>1</v>
      </c>
      <c r="T173">
        <f t="shared" si="21"/>
        <v>15.5</v>
      </c>
      <c r="U173">
        <f t="shared" si="22"/>
        <v>11.5</v>
      </c>
      <c r="V173">
        <f t="shared" si="23"/>
        <v>12.5</v>
      </c>
      <c r="W173">
        <f t="shared" si="24"/>
        <v>8.5</v>
      </c>
      <c r="X173">
        <f t="shared" si="25"/>
        <v>34</v>
      </c>
      <c r="Y173" t="str">
        <f>+VLOOKUP(A173,'[1]Tárgy kurzusai'!$A:$C,3,0)</f>
        <v>K:09:50-11:20(S.A.EA1)</v>
      </c>
      <c r="Z173">
        <f>+VLOOKUP(A173,'[1]Tárgy kurzusai'!$A:$F,6,0)</f>
        <v>2</v>
      </c>
      <c r="AA173" t="s">
        <v>49</v>
      </c>
      <c r="AB173" t="s">
        <v>71</v>
      </c>
      <c r="AC173" t="s">
        <v>74</v>
      </c>
      <c r="AD173" t="s">
        <v>60</v>
      </c>
      <c r="AE173" t="s">
        <v>69</v>
      </c>
      <c r="AF173" t="s">
        <v>69</v>
      </c>
      <c r="AG173" t="s">
        <v>55</v>
      </c>
      <c r="AH173" t="s">
        <v>55</v>
      </c>
      <c r="AI173" t="s">
        <v>55</v>
      </c>
      <c r="AJ173" t="s">
        <v>57</v>
      </c>
      <c r="AK173" t="s">
        <v>58</v>
      </c>
      <c r="AL173" t="s">
        <v>59</v>
      </c>
      <c r="AM173" t="s">
        <v>60</v>
      </c>
      <c r="AN173">
        <v>7</v>
      </c>
      <c r="AO173">
        <v>33</v>
      </c>
      <c r="AP173">
        <v>5</v>
      </c>
      <c r="AQ173">
        <v>3</v>
      </c>
      <c r="AR173" t="s">
        <v>55</v>
      </c>
      <c r="AS173" t="s">
        <v>55</v>
      </c>
      <c r="AT173" t="s">
        <v>56</v>
      </c>
      <c r="AU173" t="s">
        <v>62</v>
      </c>
      <c r="AV173" t="s">
        <v>63</v>
      </c>
      <c r="AW173" t="s">
        <v>60</v>
      </c>
      <c r="AX173" t="s">
        <v>60</v>
      </c>
      <c r="AY173">
        <v>3</v>
      </c>
      <c r="AZ173" t="s">
        <v>64</v>
      </c>
      <c r="BA173">
        <v>7</v>
      </c>
      <c r="BB173">
        <v>7</v>
      </c>
      <c r="BC173" t="s">
        <v>65</v>
      </c>
    </row>
    <row r="174" spans="1:55" x14ac:dyDescent="0.2">
      <c r="A174" s="14" t="s">
        <v>10</v>
      </c>
      <c r="B174" s="14" t="s">
        <v>3</v>
      </c>
      <c r="C174" s="15">
        <v>0</v>
      </c>
      <c r="D174" s="15">
        <v>-3</v>
      </c>
      <c r="E174" s="15">
        <v>-0.5</v>
      </c>
      <c r="F174" s="15">
        <v>0</v>
      </c>
      <c r="G174" s="3">
        <v>-6.5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f t="shared" si="21"/>
        <v>16</v>
      </c>
      <c r="U174">
        <f t="shared" si="22"/>
        <v>13</v>
      </c>
      <c r="V174">
        <f t="shared" si="23"/>
        <v>15.5</v>
      </c>
      <c r="W174">
        <f t="shared" si="24"/>
        <v>16</v>
      </c>
      <c r="X174">
        <f t="shared" si="25"/>
        <v>33.5</v>
      </c>
      <c r="Y174" t="str">
        <f>+VLOOKUP(A174,'[1]Tárgy kurzusai'!$A:$C,3,0)</f>
        <v>K:09:50-11:20(S.A.EA1)</v>
      </c>
      <c r="Z174">
        <f>+VLOOKUP(A174,'[1]Tárgy kurzusai'!$A:$F,6,0)</f>
        <v>2</v>
      </c>
      <c r="AA174" t="s">
        <v>66</v>
      </c>
      <c r="AB174" t="s">
        <v>71</v>
      </c>
      <c r="AC174" t="s">
        <v>74</v>
      </c>
      <c r="AD174" t="s">
        <v>60</v>
      </c>
      <c r="AE174" t="s">
        <v>69</v>
      </c>
      <c r="AF174" t="s">
        <v>69</v>
      </c>
      <c r="AG174" t="s">
        <v>55</v>
      </c>
      <c r="AH174" t="s">
        <v>55</v>
      </c>
      <c r="AI174" t="s">
        <v>56</v>
      </c>
      <c r="AJ174" t="s">
        <v>57</v>
      </c>
      <c r="AK174" t="s">
        <v>58</v>
      </c>
      <c r="AL174" t="s">
        <v>59</v>
      </c>
      <c r="AM174" t="s">
        <v>60</v>
      </c>
      <c r="AN174">
        <v>6</v>
      </c>
      <c r="AO174">
        <v>33</v>
      </c>
      <c r="AP174">
        <v>6</v>
      </c>
      <c r="AQ174">
        <v>12</v>
      </c>
      <c r="AR174" t="s">
        <v>55</v>
      </c>
      <c r="AS174" t="s">
        <v>61</v>
      </c>
      <c r="AT174" t="s">
        <v>56</v>
      </c>
      <c r="AU174" t="s">
        <v>62</v>
      </c>
      <c r="AV174" t="s">
        <v>63</v>
      </c>
      <c r="AW174" t="s">
        <v>60</v>
      </c>
      <c r="AX174" t="s">
        <v>60</v>
      </c>
      <c r="AY174">
        <v>3</v>
      </c>
      <c r="AZ174" t="s">
        <v>64</v>
      </c>
      <c r="BA174">
        <v>8</v>
      </c>
      <c r="BB174">
        <v>10</v>
      </c>
      <c r="BC174" t="s">
        <v>82</v>
      </c>
    </row>
    <row r="175" spans="1:55" x14ac:dyDescent="0.2">
      <c r="A175" s="14" t="s">
        <v>10</v>
      </c>
      <c r="B175" s="14" t="s">
        <v>3</v>
      </c>
      <c r="C175" s="15">
        <v>-7</v>
      </c>
      <c r="D175" s="15">
        <v>-1</v>
      </c>
      <c r="E175" s="15">
        <v>-2</v>
      </c>
      <c r="F175" s="15">
        <v>-5</v>
      </c>
      <c r="G175" s="3">
        <v>-15</v>
      </c>
      <c r="H175">
        <v>1</v>
      </c>
      <c r="I175">
        <v>1</v>
      </c>
      <c r="J175">
        <v>1</v>
      </c>
      <c r="K175">
        <v>1</v>
      </c>
      <c r="L175">
        <v>0.5</v>
      </c>
      <c r="M175">
        <v>0.75</v>
      </c>
      <c r="N175">
        <v>1</v>
      </c>
      <c r="O175">
        <v>0.67</v>
      </c>
      <c r="P175">
        <v>1</v>
      </c>
      <c r="Q175">
        <v>0.25</v>
      </c>
      <c r="R175">
        <v>1</v>
      </c>
      <c r="S175">
        <v>1</v>
      </c>
      <c r="T175">
        <f t="shared" si="21"/>
        <v>9</v>
      </c>
      <c r="U175">
        <f t="shared" si="22"/>
        <v>15</v>
      </c>
      <c r="V175">
        <f t="shared" si="23"/>
        <v>14</v>
      </c>
      <c r="W175">
        <f t="shared" si="24"/>
        <v>11</v>
      </c>
      <c r="X175">
        <f t="shared" si="25"/>
        <v>25</v>
      </c>
      <c r="Y175" t="str">
        <f>+VLOOKUP(A175,'[1]Tárgy kurzusai'!$A:$C,3,0)</f>
        <v>K:09:50-11:20(S.A.EA1)</v>
      </c>
      <c r="Z175">
        <f>+VLOOKUP(A175,'[1]Tárgy kurzusai'!$A:$F,6,0)</f>
        <v>2</v>
      </c>
      <c r="AA175" t="s">
        <v>49</v>
      </c>
      <c r="AB175" t="s">
        <v>80</v>
      </c>
      <c r="AC175" t="s">
        <v>51</v>
      </c>
      <c r="AD175" t="s">
        <v>86</v>
      </c>
      <c r="AE175" t="s">
        <v>53</v>
      </c>
      <c r="AF175" t="s">
        <v>54</v>
      </c>
      <c r="AG175" t="s">
        <v>55</v>
      </c>
      <c r="AH175" t="s">
        <v>55</v>
      </c>
      <c r="AI175" t="s">
        <v>55</v>
      </c>
      <c r="AJ175" t="s">
        <v>57</v>
      </c>
      <c r="AK175" t="s">
        <v>58</v>
      </c>
      <c r="AL175" t="s">
        <v>59</v>
      </c>
      <c r="AM175" t="s">
        <v>60</v>
      </c>
      <c r="AN175">
        <v>8</v>
      </c>
      <c r="AO175">
        <v>36</v>
      </c>
      <c r="AP175">
        <v>5</v>
      </c>
      <c r="AQ175">
        <v>3</v>
      </c>
      <c r="AR175" t="s">
        <v>55</v>
      </c>
      <c r="AS175" t="s">
        <v>61</v>
      </c>
      <c r="AT175" t="s">
        <v>55</v>
      </c>
      <c r="AU175" t="s">
        <v>62</v>
      </c>
      <c r="AV175" t="s">
        <v>63</v>
      </c>
      <c r="AW175" t="s">
        <v>60</v>
      </c>
      <c r="AX175" t="s">
        <v>60</v>
      </c>
      <c r="AY175">
        <v>3</v>
      </c>
      <c r="AZ175" t="s">
        <v>64</v>
      </c>
      <c r="BA175">
        <v>8</v>
      </c>
      <c r="BB175">
        <v>8</v>
      </c>
      <c r="BC175" t="s">
        <v>82</v>
      </c>
    </row>
    <row r="176" spans="1:55" x14ac:dyDescent="0.2">
      <c r="A176" s="14" t="s">
        <v>10</v>
      </c>
      <c r="B176" s="14" t="s">
        <v>3</v>
      </c>
      <c r="C176" s="15">
        <v>-8</v>
      </c>
      <c r="D176" s="15">
        <v>-10</v>
      </c>
      <c r="E176" s="15">
        <v>-6</v>
      </c>
      <c r="F176" s="15">
        <v>-6</v>
      </c>
      <c r="G176" s="3">
        <v>-18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0.5</v>
      </c>
      <c r="P176">
        <v>1</v>
      </c>
      <c r="Q176">
        <v>0.75</v>
      </c>
      <c r="R176">
        <v>1</v>
      </c>
      <c r="S176">
        <v>1</v>
      </c>
      <c r="T176">
        <f t="shared" si="21"/>
        <v>8</v>
      </c>
      <c r="U176">
        <f t="shared" si="22"/>
        <v>6</v>
      </c>
      <c r="V176">
        <f t="shared" si="23"/>
        <v>10</v>
      </c>
      <c r="W176">
        <f t="shared" si="24"/>
        <v>10</v>
      </c>
      <c r="X176">
        <f t="shared" si="25"/>
        <v>22</v>
      </c>
      <c r="Y176" t="str">
        <f>+VLOOKUP(A176,'[1]Tárgy kurzusai'!$A:$C,3,0)</f>
        <v>K:09:50-11:20(S.A.EA1)</v>
      </c>
      <c r="Z176">
        <f>+VLOOKUP(A176,'[1]Tárgy kurzusai'!$A:$F,6,0)</f>
        <v>2</v>
      </c>
      <c r="AA176" t="s">
        <v>49</v>
      </c>
      <c r="AB176" t="s">
        <v>71</v>
      </c>
      <c r="AC176" t="s">
        <v>72</v>
      </c>
      <c r="AD176" t="s">
        <v>109</v>
      </c>
      <c r="AE176" t="s">
        <v>69</v>
      </c>
      <c r="AF176" t="s">
        <v>69</v>
      </c>
      <c r="AG176" t="s">
        <v>56</v>
      </c>
      <c r="AH176" t="s">
        <v>56</v>
      </c>
      <c r="AI176" t="s">
        <v>55</v>
      </c>
      <c r="AJ176" t="s">
        <v>57</v>
      </c>
      <c r="AK176" t="s">
        <v>58</v>
      </c>
      <c r="AL176" t="s">
        <v>59</v>
      </c>
      <c r="AM176" t="s">
        <v>60</v>
      </c>
      <c r="AN176">
        <v>6</v>
      </c>
      <c r="AO176">
        <v>34</v>
      </c>
      <c r="AP176">
        <v>5</v>
      </c>
      <c r="AQ176">
        <v>5</v>
      </c>
      <c r="AR176" t="s">
        <v>55</v>
      </c>
      <c r="AS176" t="s">
        <v>61</v>
      </c>
      <c r="AT176" t="s">
        <v>56</v>
      </c>
      <c r="AU176" t="s">
        <v>62</v>
      </c>
      <c r="AV176" t="s">
        <v>63</v>
      </c>
      <c r="AW176" t="s">
        <v>60</v>
      </c>
      <c r="AX176" t="s">
        <v>60</v>
      </c>
      <c r="AY176">
        <v>4</v>
      </c>
      <c r="AZ176" t="s">
        <v>64</v>
      </c>
      <c r="BA176">
        <v>7</v>
      </c>
      <c r="BB176">
        <v>7</v>
      </c>
      <c r="BC176" t="s">
        <v>65</v>
      </c>
    </row>
    <row r="177" spans="1:55" x14ac:dyDescent="0.2">
      <c r="A177" s="14" t="s">
        <v>10</v>
      </c>
      <c r="B177" s="14" t="s">
        <v>3</v>
      </c>
      <c r="C177" s="15">
        <v>-9</v>
      </c>
      <c r="D177" s="15">
        <v>-2</v>
      </c>
      <c r="E177" s="15">
        <v>-1.5</v>
      </c>
      <c r="F177" s="15">
        <v>-10</v>
      </c>
      <c r="G177" s="3">
        <v>-12.5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0.83</v>
      </c>
      <c r="P177">
        <v>1</v>
      </c>
      <c r="Q177">
        <v>0.75</v>
      </c>
      <c r="R177">
        <v>1</v>
      </c>
      <c r="S177">
        <v>1</v>
      </c>
      <c r="T177">
        <f t="shared" si="21"/>
        <v>7</v>
      </c>
      <c r="U177">
        <f t="shared" si="22"/>
        <v>14</v>
      </c>
      <c r="V177">
        <f t="shared" si="23"/>
        <v>14.5</v>
      </c>
      <c r="W177">
        <f t="shared" si="24"/>
        <v>6</v>
      </c>
      <c r="X177">
        <f t="shared" si="25"/>
        <v>27.5</v>
      </c>
      <c r="Y177" t="str">
        <f>+VLOOKUP(A177,'[1]Tárgy kurzusai'!$A:$C,3,0)</f>
        <v>K:09:50-11:20(S.A.EA1)</v>
      </c>
      <c r="Z177">
        <f>+VLOOKUP(A177,'[1]Tárgy kurzusai'!$A:$F,6,0)</f>
        <v>2</v>
      </c>
      <c r="AA177" t="s">
        <v>49</v>
      </c>
      <c r="AB177" t="s">
        <v>71</v>
      </c>
      <c r="AC177" t="s">
        <v>72</v>
      </c>
      <c r="AD177" t="s">
        <v>93</v>
      </c>
      <c r="AE177" t="s">
        <v>54</v>
      </c>
      <c r="AF177" t="s">
        <v>54</v>
      </c>
      <c r="AG177" t="s">
        <v>55</v>
      </c>
      <c r="AH177" t="s">
        <v>55</v>
      </c>
      <c r="AI177" t="s">
        <v>55</v>
      </c>
      <c r="AJ177" t="s">
        <v>57</v>
      </c>
      <c r="AK177" t="s">
        <v>58</v>
      </c>
      <c r="AL177" t="s">
        <v>59</v>
      </c>
      <c r="AM177" t="s">
        <v>60</v>
      </c>
      <c r="AN177">
        <v>7</v>
      </c>
      <c r="AO177">
        <v>33</v>
      </c>
      <c r="AP177">
        <v>5</v>
      </c>
      <c r="AQ177">
        <v>3</v>
      </c>
      <c r="AR177" t="s">
        <v>55</v>
      </c>
      <c r="AS177" t="s">
        <v>61</v>
      </c>
      <c r="AT177" t="s">
        <v>56</v>
      </c>
      <c r="AU177" t="s">
        <v>62</v>
      </c>
      <c r="AV177" t="s">
        <v>63</v>
      </c>
      <c r="AW177" t="s">
        <v>60</v>
      </c>
      <c r="AX177" t="s">
        <v>60</v>
      </c>
      <c r="AY177">
        <v>3</v>
      </c>
      <c r="AZ177" t="s">
        <v>64</v>
      </c>
      <c r="BA177">
        <v>7</v>
      </c>
      <c r="BB177">
        <v>7</v>
      </c>
      <c r="BC177" t="s">
        <v>65</v>
      </c>
    </row>
    <row r="178" spans="1:55" x14ac:dyDescent="0.2">
      <c r="A178" s="14" t="s">
        <v>10</v>
      </c>
      <c r="B178" s="14" t="s">
        <v>3</v>
      </c>
      <c r="C178" s="15">
        <v>-5</v>
      </c>
      <c r="D178" s="15">
        <v>-6</v>
      </c>
      <c r="E178" s="15">
        <v>-4</v>
      </c>
      <c r="F178" s="15">
        <v>-3.5</v>
      </c>
      <c r="G178" s="3">
        <v>-15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0.17</v>
      </c>
      <c r="P178">
        <v>1</v>
      </c>
      <c r="Q178">
        <v>0.5</v>
      </c>
      <c r="R178">
        <v>1</v>
      </c>
      <c r="S178">
        <v>1</v>
      </c>
      <c r="T178">
        <f t="shared" si="21"/>
        <v>11</v>
      </c>
      <c r="U178">
        <f t="shared" si="22"/>
        <v>10</v>
      </c>
      <c r="V178">
        <f t="shared" si="23"/>
        <v>12</v>
      </c>
      <c r="W178">
        <f t="shared" si="24"/>
        <v>12.5</v>
      </c>
      <c r="X178">
        <f t="shared" si="25"/>
        <v>25</v>
      </c>
      <c r="Y178" t="str">
        <f>+VLOOKUP(A178,'[1]Tárgy kurzusai'!$A:$C,3,0)</f>
        <v>K:09:50-11:20(S.A.EA1)</v>
      </c>
      <c r="Z178">
        <f>+VLOOKUP(A178,'[1]Tárgy kurzusai'!$A:$F,6,0)</f>
        <v>2</v>
      </c>
      <c r="AA178" t="s">
        <v>66</v>
      </c>
      <c r="AB178" t="s">
        <v>71</v>
      </c>
      <c r="AC178" t="s">
        <v>72</v>
      </c>
      <c r="AD178" t="s">
        <v>84</v>
      </c>
      <c r="AE178" t="s">
        <v>69</v>
      </c>
      <c r="AF178" t="s">
        <v>69</v>
      </c>
      <c r="AG178" t="s">
        <v>55</v>
      </c>
      <c r="AH178" t="s">
        <v>55</v>
      </c>
      <c r="AI178" t="s">
        <v>55</v>
      </c>
      <c r="AJ178" t="s">
        <v>57</v>
      </c>
      <c r="AK178" t="s">
        <v>58</v>
      </c>
      <c r="AL178" t="s">
        <v>59</v>
      </c>
      <c r="AM178" t="s">
        <v>60</v>
      </c>
      <c r="AN178">
        <v>9</v>
      </c>
      <c r="AO178">
        <v>39</v>
      </c>
      <c r="AP178">
        <v>5</v>
      </c>
      <c r="AQ178">
        <v>7</v>
      </c>
      <c r="AR178" t="s">
        <v>55</v>
      </c>
      <c r="AS178" t="s">
        <v>55</v>
      </c>
      <c r="AT178" t="s">
        <v>55</v>
      </c>
      <c r="AU178" t="s">
        <v>62</v>
      </c>
      <c r="AV178" t="s">
        <v>63</v>
      </c>
      <c r="AW178" t="s">
        <v>60</v>
      </c>
      <c r="AX178" t="s">
        <v>60</v>
      </c>
      <c r="AY178">
        <v>4</v>
      </c>
      <c r="AZ178" t="s">
        <v>78</v>
      </c>
      <c r="BA178">
        <v>5</v>
      </c>
      <c r="BB178">
        <v>5</v>
      </c>
      <c r="BC178" t="s">
        <v>70</v>
      </c>
    </row>
    <row r="179" spans="1:55" x14ac:dyDescent="0.2">
      <c r="A179" s="14" t="s">
        <v>10</v>
      </c>
      <c r="B179" s="14" t="s">
        <v>3</v>
      </c>
      <c r="C179" s="15">
        <v>-6</v>
      </c>
      <c r="D179" s="15">
        <v>-16</v>
      </c>
      <c r="E179" s="15">
        <v>-1.5</v>
      </c>
      <c r="F179" s="15">
        <v>-1</v>
      </c>
      <c r="G179" s="3">
        <v>-16.5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</v>
      </c>
      <c r="P179">
        <v>1</v>
      </c>
      <c r="Q179">
        <v>0.75</v>
      </c>
      <c r="R179">
        <v>1</v>
      </c>
      <c r="S179">
        <v>1</v>
      </c>
      <c r="T179">
        <f t="shared" si="21"/>
        <v>10</v>
      </c>
      <c r="U179">
        <f t="shared" si="22"/>
        <v>0</v>
      </c>
      <c r="V179">
        <f t="shared" si="23"/>
        <v>14.5</v>
      </c>
      <c r="W179">
        <f t="shared" si="24"/>
        <v>15</v>
      </c>
      <c r="X179">
        <f t="shared" si="25"/>
        <v>23.5</v>
      </c>
      <c r="Y179" t="str">
        <f>+VLOOKUP(A179,'[1]Tárgy kurzusai'!$A:$C,3,0)</f>
        <v>K:09:50-11:20(S.A.EA1)</v>
      </c>
      <c r="Z179">
        <f>+VLOOKUP(A179,'[1]Tárgy kurzusai'!$A:$F,6,0)</f>
        <v>2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</row>
    <row r="180" spans="1:55" x14ac:dyDescent="0.2">
      <c r="A180" s="14" t="s">
        <v>10</v>
      </c>
      <c r="B180" s="14" t="s">
        <v>3</v>
      </c>
      <c r="C180" s="15">
        <v>-2</v>
      </c>
      <c r="D180" s="15">
        <v>-0.5</v>
      </c>
      <c r="E180" s="15">
        <v>-4</v>
      </c>
      <c r="F180" s="15">
        <v>-4</v>
      </c>
      <c r="G180" s="3">
        <v>-12</v>
      </c>
      <c r="H180">
        <v>1</v>
      </c>
      <c r="I180">
        <v>1</v>
      </c>
      <c r="J180">
        <v>1</v>
      </c>
      <c r="K180">
        <v>1</v>
      </c>
      <c r="L180">
        <v>0.5</v>
      </c>
      <c r="M180">
        <v>1</v>
      </c>
      <c r="N180">
        <v>1</v>
      </c>
      <c r="O180">
        <v>1</v>
      </c>
      <c r="P180">
        <v>1</v>
      </c>
      <c r="Q180">
        <v>0.5</v>
      </c>
      <c r="R180">
        <v>1</v>
      </c>
      <c r="S180">
        <v>1</v>
      </c>
      <c r="T180">
        <f t="shared" si="21"/>
        <v>14</v>
      </c>
      <c r="U180">
        <f t="shared" si="22"/>
        <v>15.5</v>
      </c>
      <c r="V180">
        <f t="shared" si="23"/>
        <v>12</v>
      </c>
      <c r="W180">
        <f t="shared" si="24"/>
        <v>12</v>
      </c>
      <c r="X180">
        <f t="shared" si="25"/>
        <v>28</v>
      </c>
      <c r="Y180" t="str">
        <f>+VLOOKUP(A180,'[1]Tárgy kurzusai'!$A:$C,3,0)</f>
        <v>K:09:50-11:20(S.A.EA1)</v>
      </c>
      <c r="Z180">
        <f>+VLOOKUP(A180,'[1]Tárgy kurzusai'!$A:$F,6,0)</f>
        <v>2</v>
      </c>
      <c r="AA180" t="s">
        <v>49</v>
      </c>
      <c r="AB180" t="s">
        <v>71</v>
      </c>
      <c r="AC180" t="s">
        <v>51</v>
      </c>
      <c r="AD180" t="s">
        <v>88</v>
      </c>
      <c r="AE180" t="s">
        <v>53</v>
      </c>
      <c r="AF180" t="s">
        <v>54</v>
      </c>
      <c r="AG180" t="s">
        <v>55</v>
      </c>
      <c r="AH180" t="s">
        <v>55</v>
      </c>
      <c r="AI180" t="s">
        <v>55</v>
      </c>
      <c r="AJ180" t="s">
        <v>57</v>
      </c>
      <c r="AK180" t="s">
        <v>58</v>
      </c>
      <c r="AL180" t="s">
        <v>59</v>
      </c>
      <c r="AM180" t="s">
        <v>60</v>
      </c>
      <c r="AN180">
        <v>7</v>
      </c>
      <c r="AO180">
        <v>33</v>
      </c>
      <c r="AP180">
        <v>5</v>
      </c>
      <c r="AQ180">
        <v>13</v>
      </c>
      <c r="AR180" t="s">
        <v>55</v>
      </c>
      <c r="AS180" t="s">
        <v>61</v>
      </c>
      <c r="AT180" t="s">
        <v>56</v>
      </c>
      <c r="AU180" t="s">
        <v>62</v>
      </c>
      <c r="AV180" t="s">
        <v>63</v>
      </c>
      <c r="AW180" t="s">
        <v>60</v>
      </c>
      <c r="AX180" t="s">
        <v>60</v>
      </c>
      <c r="AY180">
        <v>4</v>
      </c>
      <c r="AZ180" t="s">
        <v>64</v>
      </c>
      <c r="BA180">
        <v>6</v>
      </c>
      <c r="BB180">
        <v>7</v>
      </c>
      <c r="BC180" t="s">
        <v>70</v>
      </c>
    </row>
    <row r="181" spans="1:55" x14ac:dyDescent="0.2">
      <c r="A181" s="14" t="s">
        <v>10</v>
      </c>
      <c r="B181" s="14" t="s">
        <v>3</v>
      </c>
      <c r="C181" s="15">
        <v>-4</v>
      </c>
      <c r="D181" s="15">
        <v>-1.5</v>
      </c>
      <c r="E181" s="15">
        <v>-4</v>
      </c>
      <c r="F181" s="15">
        <v>0</v>
      </c>
      <c r="G181" s="3">
        <v>-17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0.67</v>
      </c>
      <c r="P181">
        <v>1</v>
      </c>
      <c r="Q181">
        <v>1</v>
      </c>
      <c r="R181">
        <v>1</v>
      </c>
      <c r="S181">
        <v>1</v>
      </c>
      <c r="T181">
        <f t="shared" si="21"/>
        <v>12</v>
      </c>
      <c r="U181">
        <f t="shared" si="22"/>
        <v>14.5</v>
      </c>
      <c r="V181">
        <f t="shared" si="23"/>
        <v>12</v>
      </c>
      <c r="W181">
        <f t="shared" si="24"/>
        <v>16</v>
      </c>
      <c r="X181">
        <f t="shared" si="25"/>
        <v>23</v>
      </c>
      <c r="Y181" t="str">
        <f>+VLOOKUP(A181,'[1]Tárgy kurzusai'!$A:$C,3,0)</f>
        <v>K:09:50-11:20(S.A.EA1)</v>
      </c>
      <c r="Z181">
        <f>+VLOOKUP(A181,'[1]Tárgy kurzusai'!$A:$F,6,0)</f>
        <v>2</v>
      </c>
      <c r="AA181" t="s">
        <v>49</v>
      </c>
      <c r="AB181" t="s">
        <v>50</v>
      </c>
      <c r="AC181" t="s">
        <v>72</v>
      </c>
      <c r="AD181" t="s">
        <v>73</v>
      </c>
      <c r="AE181" t="s">
        <v>69</v>
      </c>
      <c r="AF181" t="s">
        <v>69</v>
      </c>
      <c r="AG181" t="s">
        <v>56</v>
      </c>
      <c r="AH181" t="s">
        <v>55</v>
      </c>
      <c r="AI181" t="s">
        <v>56</v>
      </c>
      <c r="AJ181" t="s">
        <v>57</v>
      </c>
      <c r="AK181" t="s">
        <v>58</v>
      </c>
      <c r="AL181" t="s">
        <v>59</v>
      </c>
      <c r="AM181" t="s">
        <v>60</v>
      </c>
      <c r="AN181">
        <v>6</v>
      </c>
      <c r="AO181">
        <v>34</v>
      </c>
      <c r="AP181">
        <v>5</v>
      </c>
      <c r="AQ181">
        <v>13</v>
      </c>
      <c r="AR181" t="s">
        <v>55</v>
      </c>
      <c r="AS181" t="s">
        <v>55</v>
      </c>
      <c r="AT181" t="s">
        <v>55</v>
      </c>
      <c r="AU181" t="s">
        <v>62</v>
      </c>
      <c r="AV181" t="s">
        <v>63</v>
      </c>
      <c r="AW181" t="s">
        <v>60</v>
      </c>
      <c r="AX181" t="s">
        <v>60</v>
      </c>
      <c r="AY181">
        <v>5</v>
      </c>
      <c r="AZ181" t="s">
        <v>64</v>
      </c>
      <c r="BA181">
        <v>8</v>
      </c>
      <c r="BB181">
        <v>10</v>
      </c>
      <c r="BC181" t="s">
        <v>70</v>
      </c>
    </row>
    <row r="182" spans="1:55" x14ac:dyDescent="0.2">
      <c r="A182" s="14" t="s">
        <v>10</v>
      </c>
      <c r="B182" s="14" t="s">
        <v>3</v>
      </c>
      <c r="C182" s="15">
        <v>-9</v>
      </c>
      <c r="D182" s="15">
        <v>-4</v>
      </c>
      <c r="E182" s="15">
        <v>-5</v>
      </c>
      <c r="F182" s="15">
        <v>-2</v>
      </c>
      <c r="G182" s="3">
        <v>-21.5</v>
      </c>
      <c r="H182">
        <v>1</v>
      </c>
      <c r="I182">
        <v>1</v>
      </c>
      <c r="J182">
        <v>0</v>
      </c>
      <c r="K182">
        <v>1</v>
      </c>
      <c r="L182">
        <v>1</v>
      </c>
      <c r="M182">
        <v>0.75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f t="shared" si="21"/>
        <v>7</v>
      </c>
      <c r="U182">
        <f t="shared" si="22"/>
        <v>12</v>
      </c>
      <c r="V182">
        <f t="shared" si="23"/>
        <v>11</v>
      </c>
      <c r="W182">
        <f t="shared" si="24"/>
        <v>14</v>
      </c>
      <c r="X182">
        <f t="shared" si="25"/>
        <v>18.5</v>
      </c>
      <c r="Y182" t="str">
        <f>+VLOOKUP(A182,'[1]Tárgy kurzusai'!$A:$C,3,0)</f>
        <v>K:09:50-11:20(S.A.EA1)</v>
      </c>
      <c r="Z182">
        <f>+VLOOKUP(A182,'[1]Tárgy kurzusai'!$A:$F,6,0)</f>
        <v>2</v>
      </c>
      <c r="AA182" t="s">
        <v>49</v>
      </c>
      <c r="AB182" t="s">
        <v>80</v>
      </c>
      <c r="AC182" t="s">
        <v>51</v>
      </c>
      <c r="AD182" t="s">
        <v>68</v>
      </c>
      <c r="AE182" t="s">
        <v>69</v>
      </c>
      <c r="AF182" t="s">
        <v>69</v>
      </c>
      <c r="AG182" t="s">
        <v>56</v>
      </c>
      <c r="AH182" t="s">
        <v>56</v>
      </c>
      <c r="AI182" t="s">
        <v>56</v>
      </c>
      <c r="AJ182" t="s">
        <v>57</v>
      </c>
      <c r="AK182" t="s">
        <v>58</v>
      </c>
      <c r="AL182" t="s">
        <v>59</v>
      </c>
      <c r="AM182" t="s">
        <v>60</v>
      </c>
      <c r="AN182">
        <v>6</v>
      </c>
      <c r="AO182">
        <v>34</v>
      </c>
      <c r="AP182">
        <v>5</v>
      </c>
      <c r="AQ182">
        <v>11</v>
      </c>
      <c r="AR182" t="s">
        <v>55</v>
      </c>
      <c r="AS182" t="s">
        <v>55</v>
      </c>
      <c r="AT182" t="s">
        <v>55</v>
      </c>
      <c r="AU182" t="s">
        <v>62</v>
      </c>
      <c r="AV182" t="s">
        <v>63</v>
      </c>
      <c r="AW182" t="s">
        <v>60</v>
      </c>
      <c r="AX182" t="s">
        <v>60</v>
      </c>
      <c r="AY182">
        <v>3</v>
      </c>
      <c r="AZ182" t="s">
        <v>64</v>
      </c>
      <c r="BA182">
        <v>7</v>
      </c>
      <c r="BB182">
        <v>4</v>
      </c>
      <c r="BC182" t="s">
        <v>70</v>
      </c>
    </row>
    <row r="183" spans="1:55" x14ac:dyDescent="0.2">
      <c r="A183" s="14" t="s">
        <v>10</v>
      </c>
      <c r="B183" s="14" t="s">
        <v>3</v>
      </c>
      <c r="C183" s="15">
        <v>-6</v>
      </c>
      <c r="D183" s="15">
        <v>-9</v>
      </c>
      <c r="E183" s="15">
        <v>-4</v>
      </c>
      <c r="F183" s="15">
        <v>-1</v>
      </c>
      <c r="G183" s="3">
        <v>-13.5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1</v>
      </c>
      <c r="Q183">
        <v>0.75</v>
      </c>
      <c r="R183">
        <v>1</v>
      </c>
      <c r="S183">
        <v>1</v>
      </c>
      <c r="T183">
        <f t="shared" si="21"/>
        <v>10</v>
      </c>
      <c r="U183">
        <f t="shared" si="22"/>
        <v>7</v>
      </c>
      <c r="V183">
        <f t="shared" si="23"/>
        <v>12</v>
      </c>
      <c r="W183">
        <f t="shared" si="24"/>
        <v>15</v>
      </c>
      <c r="X183">
        <f t="shared" si="25"/>
        <v>26.5</v>
      </c>
      <c r="Y183" t="str">
        <f>+VLOOKUP(A183,'[1]Tárgy kurzusai'!$A:$C,3,0)</f>
        <v>K:09:50-11:20(S.A.EA1)</v>
      </c>
      <c r="Z183">
        <f>+VLOOKUP(A183,'[1]Tárgy kurzusai'!$A:$F,6,0)</f>
        <v>2</v>
      </c>
      <c r="AA183" t="s">
        <v>66</v>
      </c>
      <c r="AB183" t="s">
        <v>71</v>
      </c>
      <c r="AC183" t="s">
        <v>51</v>
      </c>
      <c r="AD183" t="s">
        <v>89</v>
      </c>
      <c r="AE183" t="s">
        <v>69</v>
      </c>
      <c r="AF183" t="s">
        <v>69</v>
      </c>
      <c r="AG183" t="s">
        <v>55</v>
      </c>
      <c r="AH183" t="s">
        <v>55</v>
      </c>
      <c r="AI183" t="s">
        <v>55</v>
      </c>
      <c r="AJ183" t="s">
        <v>57</v>
      </c>
      <c r="AK183" t="s">
        <v>79</v>
      </c>
      <c r="AL183" t="s">
        <v>59</v>
      </c>
      <c r="AM183" t="s">
        <v>60</v>
      </c>
      <c r="AN183">
        <v>7</v>
      </c>
      <c r="AO183">
        <v>34</v>
      </c>
      <c r="AP183">
        <v>5</v>
      </c>
      <c r="AQ183">
        <v>4</v>
      </c>
      <c r="AR183" t="s">
        <v>55</v>
      </c>
      <c r="AS183" t="s">
        <v>55</v>
      </c>
      <c r="AT183" t="s">
        <v>56</v>
      </c>
      <c r="AU183" t="s">
        <v>62</v>
      </c>
      <c r="AV183" t="s">
        <v>63</v>
      </c>
      <c r="AW183" t="s">
        <v>60</v>
      </c>
      <c r="AX183" t="s">
        <v>60</v>
      </c>
      <c r="AY183">
        <v>4</v>
      </c>
      <c r="AZ183" t="s">
        <v>64</v>
      </c>
      <c r="BA183">
        <v>8</v>
      </c>
      <c r="BB183">
        <v>6</v>
      </c>
      <c r="BC183" t="s">
        <v>76</v>
      </c>
    </row>
    <row r="184" spans="1:55" x14ac:dyDescent="0.2">
      <c r="A184" s="14" t="s">
        <v>10</v>
      </c>
      <c r="B184" s="14" t="s">
        <v>3</v>
      </c>
      <c r="C184" s="15">
        <v>-7.5</v>
      </c>
      <c r="D184" s="15">
        <v>-3</v>
      </c>
      <c r="E184" s="15">
        <v>-3.5</v>
      </c>
      <c r="F184" s="15">
        <v>-4</v>
      </c>
      <c r="G184" s="3">
        <v>-10.5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0.67</v>
      </c>
      <c r="P184">
        <v>1</v>
      </c>
      <c r="Q184">
        <v>0.5</v>
      </c>
      <c r="R184">
        <v>1</v>
      </c>
      <c r="S184">
        <v>1</v>
      </c>
      <c r="T184">
        <f t="shared" si="21"/>
        <v>8.5</v>
      </c>
      <c r="U184">
        <f t="shared" si="22"/>
        <v>13</v>
      </c>
      <c r="V184">
        <f t="shared" si="23"/>
        <v>12.5</v>
      </c>
      <c r="W184">
        <f t="shared" si="24"/>
        <v>12</v>
      </c>
      <c r="X184">
        <f t="shared" si="25"/>
        <v>29.5</v>
      </c>
      <c r="Y184" t="str">
        <f>+VLOOKUP(A184,'[1]Tárgy kurzusai'!$A:$C,3,0)</f>
        <v>K:09:50-11:20(S.A.EA1)</v>
      </c>
      <c r="Z184">
        <f>+VLOOKUP(A184,'[1]Tárgy kurzusai'!$A:$F,6,0)</f>
        <v>2</v>
      </c>
      <c r="AA184" t="s">
        <v>49</v>
      </c>
      <c r="AB184" t="s">
        <v>71</v>
      </c>
      <c r="AC184" t="s">
        <v>51</v>
      </c>
      <c r="AD184" t="s">
        <v>68</v>
      </c>
      <c r="AE184" t="s">
        <v>69</v>
      </c>
      <c r="AF184" t="s">
        <v>69</v>
      </c>
      <c r="AG184" t="s">
        <v>55</v>
      </c>
      <c r="AH184" t="s">
        <v>55</v>
      </c>
      <c r="AI184" t="s">
        <v>56</v>
      </c>
      <c r="AJ184" t="s">
        <v>57</v>
      </c>
      <c r="AK184" t="s">
        <v>58</v>
      </c>
      <c r="AL184" t="s">
        <v>59</v>
      </c>
      <c r="AM184" t="s">
        <v>60</v>
      </c>
      <c r="AN184">
        <v>7</v>
      </c>
      <c r="AO184">
        <v>34</v>
      </c>
      <c r="AP184">
        <v>5</v>
      </c>
      <c r="AQ184">
        <v>13</v>
      </c>
      <c r="AR184" t="s">
        <v>55</v>
      </c>
      <c r="AS184" t="s">
        <v>61</v>
      </c>
      <c r="AT184" t="s">
        <v>55</v>
      </c>
      <c r="AU184" t="s">
        <v>62</v>
      </c>
      <c r="AV184" t="s">
        <v>63</v>
      </c>
      <c r="AW184" t="s">
        <v>60</v>
      </c>
      <c r="AX184" t="s">
        <v>60</v>
      </c>
      <c r="AY184">
        <v>4</v>
      </c>
      <c r="AZ184" t="s">
        <v>78</v>
      </c>
      <c r="BA184">
        <v>7</v>
      </c>
      <c r="BB184">
        <v>8</v>
      </c>
      <c r="BC184" t="s">
        <v>65</v>
      </c>
    </row>
    <row r="185" spans="1:55" x14ac:dyDescent="0.2">
      <c r="A185" s="14" t="s">
        <v>10</v>
      </c>
      <c r="B185" s="14" t="s">
        <v>3</v>
      </c>
      <c r="C185" s="15">
        <v>-5</v>
      </c>
      <c r="D185" s="15">
        <v>-5</v>
      </c>
      <c r="E185" s="15">
        <v>-1</v>
      </c>
      <c r="F185" s="15">
        <v>-10</v>
      </c>
      <c r="G185" s="3">
        <v>-12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f t="shared" si="21"/>
        <v>11</v>
      </c>
      <c r="U185">
        <f t="shared" si="22"/>
        <v>11</v>
      </c>
      <c r="V185">
        <f t="shared" si="23"/>
        <v>15</v>
      </c>
      <c r="W185">
        <f t="shared" si="24"/>
        <v>6</v>
      </c>
      <c r="X185">
        <f t="shared" si="25"/>
        <v>28</v>
      </c>
      <c r="Y185" t="str">
        <f>+VLOOKUP(A185,'[1]Tárgy kurzusai'!$A:$C,3,0)</f>
        <v>K:09:50-11:20(S.A.EA1)</v>
      </c>
      <c r="Z185">
        <f>+VLOOKUP(A185,'[1]Tárgy kurzusai'!$A:$F,6,0)</f>
        <v>2</v>
      </c>
      <c r="AA185" t="s">
        <v>49</v>
      </c>
      <c r="AB185" t="s">
        <v>71</v>
      </c>
      <c r="AC185" t="s">
        <v>51</v>
      </c>
      <c r="AD185" t="s">
        <v>68</v>
      </c>
      <c r="AE185" t="s">
        <v>69</v>
      </c>
      <c r="AF185" t="s">
        <v>69</v>
      </c>
      <c r="AG185" t="s">
        <v>55</v>
      </c>
      <c r="AH185" t="s">
        <v>55</v>
      </c>
      <c r="AI185" t="s">
        <v>55</v>
      </c>
      <c r="AJ185" t="s">
        <v>57</v>
      </c>
      <c r="AK185" t="s">
        <v>58</v>
      </c>
      <c r="AL185" t="s">
        <v>59</v>
      </c>
      <c r="AM185" t="s">
        <v>60</v>
      </c>
      <c r="AN185">
        <v>8</v>
      </c>
      <c r="AO185">
        <v>37</v>
      </c>
      <c r="AP185">
        <v>5</v>
      </c>
      <c r="AQ185">
        <v>14</v>
      </c>
      <c r="AR185" t="s">
        <v>55</v>
      </c>
      <c r="AS185" t="s">
        <v>61</v>
      </c>
      <c r="AT185" t="s">
        <v>55</v>
      </c>
      <c r="AU185" t="s">
        <v>62</v>
      </c>
      <c r="AV185" t="s">
        <v>63</v>
      </c>
      <c r="AW185" t="s">
        <v>60</v>
      </c>
      <c r="AX185" t="s">
        <v>60</v>
      </c>
      <c r="AY185">
        <v>4</v>
      </c>
      <c r="AZ185" t="s">
        <v>64</v>
      </c>
      <c r="BA185">
        <v>7</v>
      </c>
      <c r="BB185">
        <v>9</v>
      </c>
      <c r="BC185" t="s">
        <v>65</v>
      </c>
    </row>
    <row r="186" spans="1:55" x14ac:dyDescent="0.2">
      <c r="A186" s="14" t="s">
        <v>10</v>
      </c>
      <c r="B186" s="14" t="s">
        <v>3</v>
      </c>
      <c r="C186" s="15">
        <v>-2</v>
      </c>
      <c r="D186" s="15">
        <v>-5.5</v>
      </c>
      <c r="E186" s="15">
        <v>-1.5</v>
      </c>
      <c r="F186" s="15">
        <v>-5</v>
      </c>
      <c r="G186" s="3">
        <v>-16.5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0.5</v>
      </c>
      <c r="R186">
        <v>1</v>
      </c>
      <c r="S186">
        <v>1</v>
      </c>
      <c r="T186">
        <f t="shared" si="21"/>
        <v>14</v>
      </c>
      <c r="U186">
        <f t="shared" si="22"/>
        <v>10.5</v>
      </c>
      <c r="V186">
        <f t="shared" si="23"/>
        <v>14.5</v>
      </c>
      <c r="W186">
        <f t="shared" si="24"/>
        <v>11</v>
      </c>
      <c r="X186">
        <f t="shared" si="25"/>
        <v>23.5</v>
      </c>
      <c r="Y186" t="str">
        <f>+VLOOKUP(A186,'[1]Tárgy kurzusai'!$A:$C,3,0)</f>
        <v>K:09:50-11:20(S.A.EA1)</v>
      </c>
      <c r="Z186">
        <f>+VLOOKUP(A186,'[1]Tárgy kurzusai'!$A:$F,6,0)</f>
        <v>2</v>
      </c>
      <c r="AA186" t="s">
        <v>49</v>
      </c>
      <c r="AB186" t="s">
        <v>50</v>
      </c>
      <c r="AC186" t="s">
        <v>75</v>
      </c>
      <c r="AD186" t="s">
        <v>109</v>
      </c>
      <c r="AE186" t="s">
        <v>69</v>
      </c>
      <c r="AF186" t="s">
        <v>69</v>
      </c>
      <c r="AG186" t="s">
        <v>56</v>
      </c>
      <c r="AH186" t="s">
        <v>55</v>
      </c>
      <c r="AI186" t="s">
        <v>55</v>
      </c>
      <c r="AJ186" t="s">
        <v>57</v>
      </c>
      <c r="AK186" t="s">
        <v>58</v>
      </c>
      <c r="AL186" t="s">
        <v>59</v>
      </c>
      <c r="AM186" t="s">
        <v>60</v>
      </c>
      <c r="AN186">
        <v>6</v>
      </c>
      <c r="AO186">
        <v>32</v>
      </c>
      <c r="AP186">
        <v>5</v>
      </c>
      <c r="AQ186">
        <v>13</v>
      </c>
      <c r="AR186" t="s">
        <v>55</v>
      </c>
      <c r="AS186" t="s">
        <v>61</v>
      </c>
      <c r="AT186" t="s">
        <v>56</v>
      </c>
      <c r="AU186" t="s">
        <v>62</v>
      </c>
      <c r="AV186" t="s">
        <v>63</v>
      </c>
      <c r="AW186" t="s">
        <v>60</v>
      </c>
      <c r="AX186" t="s">
        <v>60</v>
      </c>
      <c r="AY186">
        <v>3</v>
      </c>
      <c r="AZ186" t="s">
        <v>64</v>
      </c>
      <c r="BA186">
        <v>10</v>
      </c>
      <c r="BB186">
        <v>8</v>
      </c>
      <c r="BC186" t="s">
        <v>82</v>
      </c>
    </row>
    <row r="187" spans="1:55" x14ac:dyDescent="0.2">
      <c r="A187" s="14" t="s">
        <v>10</v>
      </c>
      <c r="B187" s="14" t="s">
        <v>3</v>
      </c>
      <c r="C187" s="15">
        <v>-8.5</v>
      </c>
      <c r="D187" s="15">
        <v>-8.5</v>
      </c>
      <c r="E187" s="15">
        <v>-5</v>
      </c>
      <c r="F187" s="15">
        <v>-0.5</v>
      </c>
      <c r="G187" s="3">
        <v>-16.5</v>
      </c>
      <c r="H187">
        <v>1</v>
      </c>
      <c r="I187">
        <v>0.75</v>
      </c>
      <c r="J187">
        <v>1</v>
      </c>
      <c r="K187">
        <v>0.75</v>
      </c>
      <c r="L187">
        <v>0.5</v>
      </c>
      <c r="M187">
        <v>1</v>
      </c>
      <c r="N187">
        <v>1</v>
      </c>
      <c r="O187">
        <v>0.34</v>
      </c>
      <c r="P187">
        <v>1</v>
      </c>
      <c r="Q187">
        <v>1</v>
      </c>
      <c r="R187">
        <v>1</v>
      </c>
      <c r="S187">
        <v>1</v>
      </c>
      <c r="T187">
        <f t="shared" si="21"/>
        <v>7.5</v>
      </c>
      <c r="U187">
        <f t="shared" si="22"/>
        <v>7.5</v>
      </c>
      <c r="V187">
        <f t="shared" si="23"/>
        <v>11</v>
      </c>
      <c r="W187">
        <f t="shared" si="24"/>
        <v>15.5</v>
      </c>
      <c r="X187">
        <f t="shared" si="25"/>
        <v>23.5</v>
      </c>
      <c r="Y187" t="str">
        <f>+VLOOKUP(A187,'[1]Tárgy kurzusai'!$A:$C,3,0)</f>
        <v>K:09:50-11:20(S.A.EA1)</v>
      </c>
      <c r="Z187">
        <f>+VLOOKUP(A187,'[1]Tárgy kurzusai'!$A:$F,6,0)</f>
        <v>2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</row>
    <row r="188" spans="1:55" x14ac:dyDescent="0.2">
      <c r="A188" s="16" t="s">
        <v>11</v>
      </c>
      <c r="B188" s="16" t="s">
        <v>6</v>
      </c>
      <c r="C188" s="17">
        <v>12.5</v>
      </c>
      <c r="D188" s="17">
        <v>12</v>
      </c>
      <c r="E188" s="17">
        <v>10</v>
      </c>
      <c r="F188" s="17">
        <v>13.5</v>
      </c>
      <c r="G188" s="3">
        <v>-15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0.75</v>
      </c>
      <c r="R188">
        <v>1</v>
      </c>
      <c r="S188">
        <v>1</v>
      </c>
      <c r="T188">
        <f t="shared" ref="T188:T248" si="26">+C188</f>
        <v>12.5</v>
      </c>
      <c r="U188">
        <f t="shared" ref="U188:U248" si="27">+D188</f>
        <v>12</v>
      </c>
      <c r="V188">
        <f t="shared" ref="V188:V248" si="28">+E188</f>
        <v>10</v>
      </c>
      <c r="W188">
        <f t="shared" ref="W188:W248" si="29">+F188</f>
        <v>13.5</v>
      </c>
      <c r="X188">
        <f t="shared" si="25"/>
        <v>25</v>
      </c>
      <c r="Y188" t="str">
        <f>+VLOOKUP(A188,'[1]Tárgy kurzusai'!$A:$C,3,0)</f>
        <v>CS:08:00-09:30(E.3.326)</v>
      </c>
      <c r="Z188">
        <f>+VLOOKUP(A188,'[1]Tárgy kurzusai'!$A:$F,6,0)</f>
        <v>2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</row>
    <row r="189" spans="1:55" x14ac:dyDescent="0.2">
      <c r="A189" s="16" t="s">
        <v>11</v>
      </c>
      <c r="B189" s="16" t="s">
        <v>6</v>
      </c>
      <c r="C189" s="17">
        <v>6</v>
      </c>
      <c r="D189" s="17">
        <v>5</v>
      </c>
      <c r="E189" s="17">
        <v>0</v>
      </c>
      <c r="F189" s="17">
        <v>11</v>
      </c>
      <c r="G189" s="3">
        <v>-21.5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0.5</v>
      </c>
      <c r="N189">
        <v>1</v>
      </c>
      <c r="O189">
        <v>0</v>
      </c>
      <c r="P189">
        <v>1</v>
      </c>
      <c r="Q189">
        <v>0.75</v>
      </c>
      <c r="R189">
        <v>1</v>
      </c>
      <c r="S189">
        <v>1</v>
      </c>
      <c r="T189">
        <f t="shared" si="26"/>
        <v>6</v>
      </c>
      <c r="U189">
        <f t="shared" si="27"/>
        <v>5</v>
      </c>
      <c r="V189">
        <f t="shared" si="28"/>
        <v>0</v>
      </c>
      <c r="W189">
        <f t="shared" si="29"/>
        <v>11</v>
      </c>
      <c r="X189">
        <f t="shared" si="25"/>
        <v>18.5</v>
      </c>
      <c r="Y189" t="str">
        <f>+VLOOKUP(A189,'[1]Tárgy kurzusai'!$A:$C,3,0)</f>
        <v>CS:08:00-09:30(E.3.326)</v>
      </c>
      <c r="Z189">
        <f>+VLOOKUP(A189,'[1]Tárgy kurzusai'!$A:$F,6,0)</f>
        <v>2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</row>
    <row r="190" spans="1:55" x14ac:dyDescent="0.2">
      <c r="A190" s="16" t="s">
        <v>11</v>
      </c>
      <c r="B190" s="16" t="s">
        <v>6</v>
      </c>
      <c r="C190" s="17">
        <v>15.5</v>
      </c>
      <c r="D190" s="17">
        <v>15.5</v>
      </c>
      <c r="E190" s="17">
        <v>16</v>
      </c>
      <c r="F190" s="17">
        <v>0</v>
      </c>
      <c r="G190" s="3">
        <v>-6.5</v>
      </c>
      <c r="H190">
        <v>1</v>
      </c>
      <c r="I190">
        <v>1</v>
      </c>
      <c r="J190">
        <v>1</v>
      </c>
      <c r="K190">
        <v>1</v>
      </c>
      <c r="L190">
        <v>0.5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f t="shared" si="26"/>
        <v>15.5</v>
      </c>
      <c r="U190">
        <f t="shared" si="27"/>
        <v>15.5</v>
      </c>
      <c r="V190">
        <f t="shared" si="28"/>
        <v>16</v>
      </c>
      <c r="W190">
        <f t="shared" si="29"/>
        <v>0</v>
      </c>
      <c r="X190">
        <f t="shared" si="25"/>
        <v>33.5</v>
      </c>
      <c r="Y190" t="str">
        <f>+VLOOKUP(A190,'[1]Tárgy kurzusai'!$A:$C,3,0)</f>
        <v>CS:08:00-09:30(E.3.326)</v>
      </c>
      <c r="Z190">
        <f>+VLOOKUP(A190,'[1]Tárgy kurzusai'!$A:$F,6,0)</f>
        <v>2</v>
      </c>
      <c r="AA190" t="s">
        <v>66</v>
      </c>
      <c r="AB190" t="s">
        <v>80</v>
      </c>
      <c r="AC190" t="s">
        <v>75</v>
      </c>
      <c r="AD190" t="s">
        <v>92</v>
      </c>
      <c r="AE190" t="s">
        <v>53</v>
      </c>
      <c r="AF190" t="s">
        <v>69</v>
      </c>
      <c r="AG190" t="s">
        <v>56</v>
      </c>
      <c r="AH190" t="s">
        <v>55</v>
      </c>
      <c r="AI190" t="s">
        <v>56</v>
      </c>
      <c r="AJ190" t="s">
        <v>57</v>
      </c>
      <c r="AK190" t="s">
        <v>58</v>
      </c>
      <c r="AL190" t="s">
        <v>59</v>
      </c>
      <c r="AM190" t="s">
        <v>60</v>
      </c>
      <c r="AN190">
        <v>6</v>
      </c>
      <c r="AO190">
        <v>34</v>
      </c>
      <c r="AP190">
        <v>5</v>
      </c>
      <c r="AQ190">
        <v>5</v>
      </c>
      <c r="AR190" t="s">
        <v>55</v>
      </c>
      <c r="AS190" t="s">
        <v>61</v>
      </c>
      <c r="AT190" t="s">
        <v>56</v>
      </c>
      <c r="AU190" t="s">
        <v>62</v>
      </c>
      <c r="AV190" t="s">
        <v>63</v>
      </c>
      <c r="AW190" t="s">
        <v>60</v>
      </c>
      <c r="AX190" t="s">
        <v>60</v>
      </c>
      <c r="AY190">
        <v>3</v>
      </c>
      <c r="AZ190" t="s">
        <v>64</v>
      </c>
      <c r="BA190">
        <v>8</v>
      </c>
      <c r="BB190">
        <v>10</v>
      </c>
      <c r="BC190" t="s">
        <v>82</v>
      </c>
    </row>
    <row r="191" spans="1:55" x14ac:dyDescent="0.2">
      <c r="A191" s="16" t="s">
        <v>11</v>
      </c>
      <c r="B191" s="16" t="s">
        <v>6</v>
      </c>
      <c r="C191" s="17"/>
      <c r="D191" s="17">
        <v>13.5</v>
      </c>
      <c r="E191" s="17">
        <v>9.5</v>
      </c>
      <c r="F191" s="17">
        <v>14</v>
      </c>
      <c r="G191" s="3">
        <v>-7.5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0.75</v>
      </c>
      <c r="R191">
        <v>1</v>
      </c>
      <c r="S191">
        <v>1</v>
      </c>
      <c r="T191">
        <f t="shared" si="26"/>
        <v>0</v>
      </c>
      <c r="U191">
        <f t="shared" si="27"/>
        <v>13.5</v>
      </c>
      <c r="V191">
        <f t="shared" si="28"/>
        <v>9.5</v>
      </c>
      <c r="W191">
        <f t="shared" si="29"/>
        <v>14</v>
      </c>
      <c r="X191">
        <f t="shared" si="25"/>
        <v>32.5</v>
      </c>
      <c r="Y191" t="str">
        <f>+VLOOKUP(A191,'[1]Tárgy kurzusai'!$A:$C,3,0)</f>
        <v>CS:08:00-09:30(E.3.326)</v>
      </c>
      <c r="Z191">
        <f>+VLOOKUP(A191,'[1]Tárgy kurzusai'!$A:$F,6,0)</f>
        <v>2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</row>
    <row r="192" spans="1:55" x14ac:dyDescent="0.2">
      <c r="A192" s="16" t="s">
        <v>11</v>
      </c>
      <c r="B192" s="16" t="s">
        <v>6</v>
      </c>
      <c r="C192" s="17">
        <v>15</v>
      </c>
      <c r="D192" s="17">
        <v>16</v>
      </c>
      <c r="E192" s="17">
        <v>15</v>
      </c>
      <c r="F192" s="17">
        <v>11</v>
      </c>
      <c r="G192" s="3">
        <v>-7.5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0.5</v>
      </c>
      <c r="R192">
        <v>1</v>
      </c>
      <c r="S192">
        <v>1</v>
      </c>
      <c r="T192">
        <f t="shared" si="26"/>
        <v>15</v>
      </c>
      <c r="U192">
        <f t="shared" si="27"/>
        <v>16</v>
      </c>
      <c r="V192">
        <f t="shared" si="28"/>
        <v>15</v>
      </c>
      <c r="W192">
        <f t="shared" si="29"/>
        <v>11</v>
      </c>
      <c r="X192">
        <f t="shared" si="25"/>
        <v>32.5</v>
      </c>
      <c r="Y192" t="str">
        <f>+VLOOKUP(A192,'[1]Tárgy kurzusai'!$A:$C,3,0)</f>
        <v>CS:08:00-09:30(E.3.326)</v>
      </c>
      <c r="Z192">
        <f>+VLOOKUP(A192,'[1]Tárgy kurzusai'!$A:$F,6,0)</f>
        <v>2</v>
      </c>
      <c r="AA192" t="s">
        <v>49</v>
      </c>
      <c r="AB192" t="s">
        <v>50</v>
      </c>
      <c r="AC192" t="s">
        <v>51</v>
      </c>
      <c r="AD192" t="s">
        <v>68</v>
      </c>
      <c r="AE192" t="s">
        <v>69</v>
      </c>
      <c r="AF192" t="s">
        <v>69</v>
      </c>
      <c r="AG192" t="s">
        <v>55</v>
      </c>
      <c r="AH192" t="s">
        <v>55</v>
      </c>
      <c r="AI192" t="s">
        <v>55</v>
      </c>
      <c r="AJ192" t="s">
        <v>57</v>
      </c>
      <c r="AK192" t="s">
        <v>58</v>
      </c>
      <c r="AL192" t="s">
        <v>59</v>
      </c>
      <c r="AM192" t="s">
        <v>60</v>
      </c>
      <c r="AN192">
        <v>5</v>
      </c>
      <c r="AO192">
        <v>33</v>
      </c>
      <c r="AP192">
        <v>4</v>
      </c>
      <c r="AQ192">
        <v>2.4</v>
      </c>
      <c r="AR192" t="s">
        <v>55</v>
      </c>
      <c r="AS192" t="s">
        <v>55</v>
      </c>
      <c r="AT192" t="s">
        <v>56</v>
      </c>
      <c r="AU192" t="s">
        <v>62</v>
      </c>
      <c r="AV192" t="s">
        <v>63</v>
      </c>
      <c r="AW192" t="s">
        <v>60</v>
      </c>
      <c r="AX192" t="s">
        <v>60</v>
      </c>
      <c r="AY192">
        <v>2</v>
      </c>
      <c r="AZ192" t="s">
        <v>64</v>
      </c>
      <c r="BA192">
        <v>5</v>
      </c>
      <c r="BB192">
        <v>7</v>
      </c>
      <c r="BC192" t="s">
        <v>76</v>
      </c>
    </row>
    <row r="193" spans="1:55" x14ac:dyDescent="0.2">
      <c r="A193" s="16" t="s">
        <v>11</v>
      </c>
      <c r="B193" s="16" t="s">
        <v>6</v>
      </c>
      <c r="C193" s="17">
        <v>13</v>
      </c>
      <c r="D193" s="17">
        <v>11.5</v>
      </c>
      <c r="E193" s="17">
        <v>8</v>
      </c>
      <c r="F193" s="17">
        <v>14</v>
      </c>
      <c r="G193" s="3">
        <v>-16.5</v>
      </c>
      <c r="H193">
        <v>1</v>
      </c>
      <c r="I193">
        <v>0.75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1</v>
      </c>
      <c r="P193">
        <v>0.75</v>
      </c>
      <c r="Q193">
        <v>0.5</v>
      </c>
      <c r="R193">
        <v>1</v>
      </c>
      <c r="S193">
        <v>1</v>
      </c>
      <c r="T193">
        <f t="shared" si="26"/>
        <v>13</v>
      </c>
      <c r="U193">
        <f t="shared" si="27"/>
        <v>11.5</v>
      </c>
      <c r="V193">
        <f t="shared" si="28"/>
        <v>8</v>
      </c>
      <c r="W193">
        <f t="shared" si="29"/>
        <v>14</v>
      </c>
      <c r="X193">
        <f t="shared" si="25"/>
        <v>23.5</v>
      </c>
      <c r="Y193" t="str">
        <f>+VLOOKUP(A193,'[1]Tárgy kurzusai'!$A:$C,3,0)</f>
        <v>CS:08:00-09:30(E.3.326)</v>
      </c>
      <c r="Z193">
        <f>+VLOOKUP(A193,'[1]Tárgy kurzusai'!$A:$F,6,0)</f>
        <v>2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</row>
    <row r="194" spans="1:55" x14ac:dyDescent="0.2">
      <c r="A194" s="16" t="s">
        <v>11</v>
      </c>
      <c r="B194" s="16" t="s">
        <v>6</v>
      </c>
      <c r="C194" s="17">
        <v>16</v>
      </c>
      <c r="D194" s="17">
        <v>15</v>
      </c>
      <c r="E194" s="17">
        <v>13.5</v>
      </c>
      <c r="F194" s="17">
        <v>12</v>
      </c>
      <c r="G194" s="3">
        <v>-7.5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0.25</v>
      </c>
      <c r="R194">
        <v>1</v>
      </c>
      <c r="S194">
        <v>1</v>
      </c>
      <c r="T194">
        <f t="shared" si="26"/>
        <v>16</v>
      </c>
      <c r="U194">
        <f t="shared" si="27"/>
        <v>15</v>
      </c>
      <c r="V194">
        <f t="shared" si="28"/>
        <v>13.5</v>
      </c>
      <c r="W194">
        <f t="shared" si="29"/>
        <v>12</v>
      </c>
      <c r="X194">
        <f t="shared" si="25"/>
        <v>32.5</v>
      </c>
      <c r="Y194" t="str">
        <f>+VLOOKUP(A194,'[1]Tárgy kurzusai'!$A:$C,3,0)</f>
        <v>CS:08:00-09:30(E.3.326)</v>
      </c>
      <c r="Z194">
        <f>+VLOOKUP(A194,'[1]Tárgy kurzusai'!$A:$F,6,0)</f>
        <v>2</v>
      </c>
      <c r="AA194" t="s">
        <v>49</v>
      </c>
      <c r="AB194" t="s">
        <v>71</v>
      </c>
      <c r="AC194" t="s">
        <v>51</v>
      </c>
      <c r="AD194" t="s">
        <v>94</v>
      </c>
      <c r="AE194" t="s">
        <v>69</v>
      </c>
      <c r="AF194" t="s">
        <v>53</v>
      </c>
      <c r="AG194" t="s">
        <v>55</v>
      </c>
      <c r="AH194" t="s">
        <v>55</v>
      </c>
      <c r="AI194" t="s">
        <v>55</v>
      </c>
      <c r="AJ194" t="s">
        <v>57</v>
      </c>
      <c r="AK194" t="s">
        <v>58</v>
      </c>
      <c r="AL194" t="s">
        <v>59</v>
      </c>
      <c r="AM194" t="s">
        <v>60</v>
      </c>
      <c r="AN194">
        <v>7</v>
      </c>
      <c r="AO194">
        <v>34</v>
      </c>
      <c r="AP194">
        <v>5</v>
      </c>
      <c r="AQ194">
        <v>13</v>
      </c>
      <c r="AR194" t="s">
        <v>55</v>
      </c>
      <c r="AS194" t="s">
        <v>61</v>
      </c>
      <c r="AT194" t="s">
        <v>55</v>
      </c>
      <c r="AU194" t="s">
        <v>62</v>
      </c>
      <c r="AV194" t="s">
        <v>63</v>
      </c>
      <c r="AW194" t="s">
        <v>60</v>
      </c>
      <c r="AX194" t="s">
        <v>60</v>
      </c>
      <c r="AY194">
        <v>4</v>
      </c>
      <c r="AZ194" t="s">
        <v>64</v>
      </c>
      <c r="BA194">
        <v>7</v>
      </c>
      <c r="BB194">
        <v>7</v>
      </c>
      <c r="BC194" t="s">
        <v>65</v>
      </c>
    </row>
    <row r="195" spans="1:55" x14ac:dyDescent="0.2">
      <c r="A195" s="16" t="s">
        <v>11</v>
      </c>
      <c r="B195" s="16" t="s">
        <v>6</v>
      </c>
      <c r="C195" s="17">
        <v>14</v>
      </c>
      <c r="D195" s="17">
        <v>0</v>
      </c>
      <c r="E195" s="17">
        <v>0</v>
      </c>
      <c r="F195" s="17">
        <v>0</v>
      </c>
      <c r="G195" s="3" t="e">
        <v>#N/A</v>
      </c>
      <c r="H195">
        <v>1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f t="shared" si="26"/>
        <v>14</v>
      </c>
      <c r="U195">
        <f t="shared" si="27"/>
        <v>0</v>
      </c>
      <c r="V195">
        <f t="shared" si="28"/>
        <v>0</v>
      </c>
      <c r="W195">
        <f t="shared" si="29"/>
        <v>0</v>
      </c>
      <c r="X195" t="e">
        <f t="shared" si="25"/>
        <v>#N/A</v>
      </c>
      <c r="Y195" t="str">
        <f>+VLOOKUP(A195,'[1]Tárgy kurzusai'!$A:$C,3,0)</f>
        <v>CS:08:00-09:30(E.3.326)</v>
      </c>
      <c r="Z195">
        <f>+VLOOKUP(A195,'[1]Tárgy kurzusai'!$A:$F,6,0)</f>
        <v>2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</row>
    <row r="196" spans="1:55" x14ac:dyDescent="0.2">
      <c r="A196" s="16" t="s">
        <v>11</v>
      </c>
      <c r="B196" s="16" t="s">
        <v>6</v>
      </c>
      <c r="C196" s="17">
        <v>16</v>
      </c>
      <c r="D196" s="17">
        <v>16</v>
      </c>
      <c r="E196" s="17">
        <v>15.5</v>
      </c>
      <c r="F196" s="17">
        <v>0</v>
      </c>
      <c r="G196" s="3">
        <v>-9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f t="shared" si="26"/>
        <v>16</v>
      </c>
      <c r="U196">
        <f t="shared" si="27"/>
        <v>16</v>
      </c>
      <c r="V196">
        <f t="shared" si="28"/>
        <v>15.5</v>
      </c>
      <c r="W196">
        <f t="shared" si="29"/>
        <v>0</v>
      </c>
      <c r="X196">
        <f t="shared" si="25"/>
        <v>31</v>
      </c>
      <c r="Y196" t="str">
        <f>+VLOOKUP(A196,'[1]Tárgy kurzusai'!$A:$C,3,0)</f>
        <v>CS:08:00-09:30(E.3.326)</v>
      </c>
      <c r="Z196">
        <f>+VLOOKUP(A196,'[1]Tárgy kurzusai'!$A:$F,6,0)</f>
        <v>2</v>
      </c>
      <c r="AA196" t="s">
        <v>49</v>
      </c>
      <c r="AB196" t="s">
        <v>50</v>
      </c>
      <c r="AC196" t="s">
        <v>74</v>
      </c>
      <c r="AD196" t="s">
        <v>60</v>
      </c>
      <c r="AE196" t="s">
        <v>69</v>
      </c>
      <c r="AF196" t="s">
        <v>54</v>
      </c>
      <c r="AG196" t="s">
        <v>55</v>
      </c>
      <c r="AH196" t="s">
        <v>55</v>
      </c>
      <c r="AI196" t="s">
        <v>56</v>
      </c>
      <c r="AJ196" t="s">
        <v>57</v>
      </c>
      <c r="AK196" t="s">
        <v>58</v>
      </c>
      <c r="AL196" t="s">
        <v>96</v>
      </c>
      <c r="AM196">
        <v>0</v>
      </c>
      <c r="AN196">
        <v>8</v>
      </c>
      <c r="AO196">
        <v>42</v>
      </c>
      <c r="AP196">
        <v>8</v>
      </c>
      <c r="AQ196">
        <v>14</v>
      </c>
      <c r="AR196" t="s">
        <v>55</v>
      </c>
      <c r="AS196" t="s">
        <v>55</v>
      </c>
      <c r="AT196" t="s">
        <v>56</v>
      </c>
      <c r="AU196" t="s">
        <v>62</v>
      </c>
      <c r="AV196" t="s">
        <v>63</v>
      </c>
      <c r="AW196" t="s">
        <v>60</v>
      </c>
      <c r="AX196" t="s">
        <v>60</v>
      </c>
      <c r="AY196">
        <v>3</v>
      </c>
      <c r="AZ196" t="s">
        <v>64</v>
      </c>
      <c r="BA196">
        <v>3</v>
      </c>
      <c r="BB196">
        <v>8</v>
      </c>
      <c r="BC196" t="s">
        <v>70</v>
      </c>
    </row>
    <row r="197" spans="1:55" x14ac:dyDescent="0.2">
      <c r="A197" s="16" t="s">
        <v>11</v>
      </c>
      <c r="B197" s="16" t="s">
        <v>6</v>
      </c>
      <c r="C197" s="17">
        <v>6</v>
      </c>
      <c r="D197" s="17">
        <v>11</v>
      </c>
      <c r="E197" s="17">
        <v>10</v>
      </c>
      <c r="F197" s="17">
        <v>0</v>
      </c>
      <c r="G197" s="3">
        <v>-10.5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f t="shared" si="26"/>
        <v>6</v>
      </c>
      <c r="U197">
        <f t="shared" si="27"/>
        <v>11</v>
      </c>
      <c r="V197">
        <f t="shared" si="28"/>
        <v>10</v>
      </c>
      <c r="W197">
        <f t="shared" si="29"/>
        <v>0</v>
      </c>
      <c r="X197">
        <f t="shared" si="25"/>
        <v>29.5</v>
      </c>
      <c r="Y197" t="str">
        <f>+VLOOKUP(A197,'[1]Tárgy kurzusai'!$A:$C,3,0)</f>
        <v>CS:08:00-09:30(E.3.326)</v>
      </c>
      <c r="Z197">
        <f>+VLOOKUP(A197,'[1]Tárgy kurzusai'!$A:$F,6,0)</f>
        <v>2</v>
      </c>
      <c r="AA197" t="s">
        <v>66</v>
      </c>
      <c r="AB197" t="s">
        <v>71</v>
      </c>
      <c r="AC197" t="s">
        <v>74</v>
      </c>
      <c r="AD197" t="s">
        <v>60</v>
      </c>
      <c r="AE197" t="s">
        <v>69</v>
      </c>
      <c r="AF197" t="s">
        <v>69</v>
      </c>
      <c r="AG197" t="s">
        <v>55</v>
      </c>
      <c r="AH197" t="s">
        <v>55</v>
      </c>
      <c r="AI197" t="s">
        <v>55</v>
      </c>
      <c r="AJ197" t="s">
        <v>57</v>
      </c>
      <c r="AK197" t="s">
        <v>79</v>
      </c>
      <c r="AL197" t="s">
        <v>59</v>
      </c>
      <c r="AM197" t="s">
        <v>60</v>
      </c>
      <c r="AN197">
        <v>6</v>
      </c>
      <c r="AO197">
        <v>0</v>
      </c>
      <c r="AP197">
        <v>0</v>
      </c>
      <c r="AQ197">
        <v>0</v>
      </c>
      <c r="AR197" t="s">
        <v>55</v>
      </c>
      <c r="AS197" t="s">
        <v>91</v>
      </c>
      <c r="AT197" t="s">
        <v>55</v>
      </c>
      <c r="AU197" t="s">
        <v>62</v>
      </c>
      <c r="AV197" t="s">
        <v>63</v>
      </c>
      <c r="AW197" t="s">
        <v>60</v>
      </c>
      <c r="AX197" t="s">
        <v>60</v>
      </c>
      <c r="AY197" t="s">
        <v>60</v>
      </c>
      <c r="AZ197" t="s">
        <v>64</v>
      </c>
      <c r="BA197">
        <v>10</v>
      </c>
      <c r="BB197">
        <v>4</v>
      </c>
      <c r="BC197" t="s">
        <v>82</v>
      </c>
    </row>
    <row r="198" spans="1:55" x14ac:dyDescent="0.2">
      <c r="A198" s="16" t="s">
        <v>11</v>
      </c>
      <c r="B198" s="16" t="s">
        <v>6</v>
      </c>
      <c r="C198" s="17">
        <v>8.5</v>
      </c>
      <c r="D198" s="17">
        <v>0</v>
      </c>
      <c r="E198" s="17">
        <v>4.5</v>
      </c>
      <c r="F198" s="17">
        <v>13.5</v>
      </c>
      <c r="G198" s="3">
        <v>-7.5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0.25</v>
      </c>
      <c r="O198">
        <v>1</v>
      </c>
      <c r="P198">
        <v>1</v>
      </c>
      <c r="Q198">
        <v>0.75</v>
      </c>
      <c r="R198">
        <v>1</v>
      </c>
      <c r="S198">
        <v>1</v>
      </c>
      <c r="T198">
        <f t="shared" si="26"/>
        <v>8.5</v>
      </c>
      <c r="U198">
        <f t="shared" si="27"/>
        <v>0</v>
      </c>
      <c r="V198">
        <f t="shared" si="28"/>
        <v>4.5</v>
      </c>
      <c r="W198">
        <f t="shared" si="29"/>
        <v>13.5</v>
      </c>
      <c r="X198">
        <f t="shared" si="25"/>
        <v>32.5</v>
      </c>
      <c r="Y198" t="str">
        <f>+VLOOKUP(A198,'[1]Tárgy kurzusai'!$A:$C,3,0)</f>
        <v>CS:08:00-09:30(E.3.326)</v>
      </c>
      <c r="Z198">
        <f>+VLOOKUP(A198,'[1]Tárgy kurzusai'!$A:$F,6,0)</f>
        <v>2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</row>
    <row r="199" spans="1:55" x14ac:dyDescent="0.2">
      <c r="A199" s="16" t="s">
        <v>11</v>
      </c>
      <c r="B199" s="16" t="s">
        <v>6</v>
      </c>
      <c r="C199" s="17">
        <v>11.5</v>
      </c>
      <c r="D199" s="17">
        <v>12.5</v>
      </c>
      <c r="E199" s="17">
        <v>15</v>
      </c>
      <c r="F199" s="17">
        <v>15</v>
      </c>
      <c r="G199" s="3">
        <v>-1.5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0.75</v>
      </c>
      <c r="R199">
        <v>1</v>
      </c>
      <c r="S199">
        <v>1</v>
      </c>
      <c r="T199">
        <f t="shared" si="26"/>
        <v>11.5</v>
      </c>
      <c r="U199">
        <f t="shared" si="27"/>
        <v>12.5</v>
      </c>
      <c r="V199">
        <f t="shared" si="28"/>
        <v>15</v>
      </c>
      <c r="W199">
        <f t="shared" si="29"/>
        <v>15</v>
      </c>
      <c r="X199">
        <f t="shared" si="25"/>
        <v>38.5</v>
      </c>
      <c r="Y199" t="str">
        <f>+VLOOKUP(A199,'[1]Tárgy kurzusai'!$A:$C,3,0)</f>
        <v>CS:08:00-09:30(E.3.326)</v>
      </c>
      <c r="Z199">
        <f>+VLOOKUP(A199,'[1]Tárgy kurzusai'!$A:$F,6,0)</f>
        <v>2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</row>
    <row r="200" spans="1:55" x14ac:dyDescent="0.2">
      <c r="A200" s="16" t="s">
        <v>11</v>
      </c>
      <c r="B200" s="16" t="s">
        <v>6</v>
      </c>
      <c r="C200" s="17">
        <v>12.5</v>
      </c>
      <c r="D200" s="17">
        <v>14</v>
      </c>
      <c r="E200" s="17">
        <v>10.5</v>
      </c>
      <c r="F200" s="17">
        <v>16</v>
      </c>
      <c r="G200" s="3">
        <v>-6</v>
      </c>
      <c r="H200">
        <v>1</v>
      </c>
      <c r="I200">
        <v>1</v>
      </c>
      <c r="J200">
        <v>1</v>
      </c>
      <c r="K200">
        <v>1</v>
      </c>
      <c r="L200">
        <v>0.5</v>
      </c>
      <c r="M200">
        <v>1</v>
      </c>
      <c r="N200">
        <v>1</v>
      </c>
      <c r="O200">
        <v>0.75</v>
      </c>
      <c r="P200">
        <v>1</v>
      </c>
      <c r="Q200">
        <v>1</v>
      </c>
      <c r="R200">
        <v>1</v>
      </c>
      <c r="S200">
        <v>1</v>
      </c>
      <c r="T200">
        <f t="shared" si="26"/>
        <v>12.5</v>
      </c>
      <c r="U200">
        <f t="shared" si="27"/>
        <v>14</v>
      </c>
      <c r="V200">
        <f t="shared" si="28"/>
        <v>10.5</v>
      </c>
      <c r="W200">
        <f t="shared" si="29"/>
        <v>16</v>
      </c>
      <c r="X200">
        <f t="shared" si="25"/>
        <v>34</v>
      </c>
      <c r="Y200" t="str">
        <f>+VLOOKUP(A200,'[1]Tárgy kurzusai'!$A:$C,3,0)</f>
        <v>CS:08:00-09:30(E.3.326)</v>
      </c>
      <c r="Z200">
        <f>+VLOOKUP(A200,'[1]Tárgy kurzusai'!$A:$F,6,0)</f>
        <v>2</v>
      </c>
      <c r="AA200" t="s">
        <v>66</v>
      </c>
      <c r="AB200" t="s">
        <v>71</v>
      </c>
      <c r="AC200" t="s">
        <v>74</v>
      </c>
      <c r="AD200" t="s">
        <v>60</v>
      </c>
      <c r="AE200" t="s">
        <v>53</v>
      </c>
      <c r="AF200" t="s">
        <v>53</v>
      </c>
      <c r="AG200" t="s">
        <v>55</v>
      </c>
      <c r="AH200" t="s">
        <v>55</v>
      </c>
      <c r="AI200" t="s">
        <v>55</v>
      </c>
      <c r="AJ200" t="s">
        <v>57</v>
      </c>
      <c r="AK200" t="s">
        <v>58</v>
      </c>
      <c r="AL200" t="s">
        <v>59</v>
      </c>
      <c r="AM200" t="s">
        <v>60</v>
      </c>
      <c r="AN200">
        <v>7</v>
      </c>
      <c r="AO200">
        <v>33</v>
      </c>
      <c r="AP200">
        <v>5</v>
      </c>
      <c r="AQ200">
        <v>12</v>
      </c>
      <c r="AR200" t="s">
        <v>55</v>
      </c>
      <c r="AS200" t="s">
        <v>61</v>
      </c>
      <c r="AT200" t="s">
        <v>55</v>
      </c>
      <c r="AU200" t="s">
        <v>62</v>
      </c>
      <c r="AV200" t="s">
        <v>63</v>
      </c>
      <c r="AW200" t="s">
        <v>60</v>
      </c>
      <c r="AX200" t="s">
        <v>60</v>
      </c>
      <c r="AY200">
        <v>3</v>
      </c>
      <c r="AZ200" t="s">
        <v>64</v>
      </c>
      <c r="BA200">
        <v>10</v>
      </c>
      <c r="BB200">
        <v>6</v>
      </c>
      <c r="BC200" t="s">
        <v>82</v>
      </c>
    </row>
    <row r="201" spans="1:55" x14ac:dyDescent="0.2">
      <c r="A201" s="16" t="s">
        <v>11</v>
      </c>
      <c r="B201" s="16" t="s">
        <v>6</v>
      </c>
      <c r="C201" s="17">
        <v>8.5</v>
      </c>
      <c r="D201" s="17">
        <v>11.5</v>
      </c>
      <c r="E201" s="17">
        <v>7.5</v>
      </c>
      <c r="F201" s="17">
        <v>15</v>
      </c>
      <c r="G201" s="3">
        <v>-20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0.75</v>
      </c>
      <c r="P201">
        <v>1</v>
      </c>
      <c r="Q201">
        <v>0.5</v>
      </c>
      <c r="R201">
        <v>1</v>
      </c>
      <c r="S201">
        <v>1</v>
      </c>
      <c r="T201">
        <f t="shared" si="26"/>
        <v>8.5</v>
      </c>
      <c r="U201">
        <f t="shared" si="27"/>
        <v>11.5</v>
      </c>
      <c r="V201">
        <f t="shared" si="28"/>
        <v>7.5</v>
      </c>
      <c r="W201">
        <f t="shared" si="29"/>
        <v>15</v>
      </c>
      <c r="X201">
        <f t="shared" si="25"/>
        <v>20</v>
      </c>
      <c r="Y201" t="str">
        <f>+VLOOKUP(A201,'[1]Tárgy kurzusai'!$A:$C,3,0)</f>
        <v>CS:08:00-09:30(E.3.326)</v>
      </c>
      <c r="Z201">
        <f>+VLOOKUP(A201,'[1]Tárgy kurzusai'!$A:$F,6,0)</f>
        <v>2</v>
      </c>
      <c r="AA201" t="s">
        <v>66</v>
      </c>
      <c r="AB201" t="s">
        <v>71</v>
      </c>
      <c r="AC201" t="s">
        <v>51</v>
      </c>
      <c r="AD201" t="s">
        <v>89</v>
      </c>
      <c r="AE201" t="s">
        <v>69</v>
      </c>
      <c r="AF201" t="s">
        <v>69</v>
      </c>
      <c r="AG201" t="s">
        <v>55</v>
      </c>
      <c r="AH201" t="s">
        <v>55</v>
      </c>
      <c r="AI201" t="s">
        <v>56</v>
      </c>
      <c r="AJ201" t="s">
        <v>60</v>
      </c>
      <c r="AK201" t="s">
        <v>79</v>
      </c>
      <c r="AL201" t="s">
        <v>59</v>
      </c>
      <c r="AM201" t="s">
        <v>60</v>
      </c>
      <c r="AN201">
        <v>6</v>
      </c>
      <c r="AO201">
        <v>33</v>
      </c>
      <c r="AP201">
        <v>5</v>
      </c>
      <c r="AQ201">
        <v>12</v>
      </c>
      <c r="AR201" t="s">
        <v>55</v>
      </c>
      <c r="AS201" t="s">
        <v>55</v>
      </c>
      <c r="AT201" t="s">
        <v>56</v>
      </c>
      <c r="AU201" t="s">
        <v>62</v>
      </c>
      <c r="AV201" t="s">
        <v>63</v>
      </c>
      <c r="AW201" t="s">
        <v>60</v>
      </c>
      <c r="AX201" t="s">
        <v>60</v>
      </c>
      <c r="AY201">
        <v>3</v>
      </c>
      <c r="AZ201" t="s">
        <v>64</v>
      </c>
      <c r="BA201">
        <v>7</v>
      </c>
      <c r="BB201">
        <v>10</v>
      </c>
      <c r="BC201" t="s">
        <v>70</v>
      </c>
    </row>
    <row r="202" spans="1:55" x14ac:dyDescent="0.2">
      <c r="A202" s="16" t="s">
        <v>11</v>
      </c>
      <c r="B202" s="16" t="s">
        <v>6</v>
      </c>
      <c r="C202" s="17">
        <v>10</v>
      </c>
      <c r="D202" s="17">
        <v>6</v>
      </c>
      <c r="E202" s="17">
        <v>0</v>
      </c>
      <c r="F202" s="17">
        <v>10</v>
      </c>
      <c r="G202" s="3">
        <v>-10.5</v>
      </c>
      <c r="H202">
        <v>1</v>
      </c>
      <c r="I202">
        <v>1</v>
      </c>
      <c r="J202">
        <v>0.75</v>
      </c>
      <c r="K202">
        <v>1</v>
      </c>
      <c r="L202">
        <v>1</v>
      </c>
      <c r="M202">
        <v>0</v>
      </c>
      <c r="N202">
        <v>1</v>
      </c>
      <c r="O202">
        <v>0.83</v>
      </c>
      <c r="P202">
        <v>1</v>
      </c>
      <c r="Q202">
        <v>1</v>
      </c>
      <c r="R202">
        <v>1</v>
      </c>
      <c r="S202">
        <v>1</v>
      </c>
      <c r="T202">
        <f t="shared" si="26"/>
        <v>10</v>
      </c>
      <c r="U202">
        <f t="shared" si="27"/>
        <v>6</v>
      </c>
      <c r="V202">
        <f t="shared" si="28"/>
        <v>0</v>
      </c>
      <c r="W202">
        <f t="shared" si="29"/>
        <v>10</v>
      </c>
      <c r="X202">
        <f t="shared" si="25"/>
        <v>29.5</v>
      </c>
      <c r="Y202" t="str">
        <f>+VLOOKUP(A202,'[1]Tárgy kurzusai'!$A:$C,3,0)</f>
        <v>CS:08:00-09:30(E.3.326)</v>
      </c>
      <c r="Z202">
        <f>+VLOOKUP(A202,'[1]Tárgy kurzusai'!$A:$F,6,0)</f>
        <v>2</v>
      </c>
      <c r="AA202" t="s">
        <v>66</v>
      </c>
      <c r="AB202" t="s">
        <v>71</v>
      </c>
      <c r="AC202" t="s">
        <v>72</v>
      </c>
      <c r="AD202" t="s">
        <v>85</v>
      </c>
      <c r="AE202" t="s">
        <v>69</v>
      </c>
      <c r="AF202" t="s">
        <v>69</v>
      </c>
      <c r="AG202" t="s">
        <v>55</v>
      </c>
      <c r="AH202" t="s">
        <v>55</v>
      </c>
      <c r="AI202" t="s">
        <v>55</v>
      </c>
      <c r="AJ202" t="s">
        <v>57</v>
      </c>
      <c r="AK202" t="s">
        <v>58</v>
      </c>
      <c r="AL202" t="s">
        <v>59</v>
      </c>
      <c r="AM202" t="s">
        <v>60</v>
      </c>
      <c r="AN202">
        <v>6</v>
      </c>
      <c r="AO202">
        <v>30</v>
      </c>
      <c r="AP202">
        <v>4</v>
      </c>
      <c r="AQ202">
        <v>12</v>
      </c>
      <c r="AR202" t="s">
        <v>55</v>
      </c>
      <c r="AS202" t="s">
        <v>61</v>
      </c>
      <c r="AT202" t="s">
        <v>55</v>
      </c>
      <c r="AU202" t="s">
        <v>62</v>
      </c>
      <c r="AV202" t="s">
        <v>63</v>
      </c>
      <c r="AW202" t="s">
        <v>60</v>
      </c>
      <c r="AX202" t="s">
        <v>60</v>
      </c>
      <c r="AY202">
        <v>4</v>
      </c>
      <c r="AZ202" t="s">
        <v>64</v>
      </c>
      <c r="BA202">
        <v>8</v>
      </c>
      <c r="BB202">
        <v>5</v>
      </c>
      <c r="BC202" t="s">
        <v>65</v>
      </c>
    </row>
    <row r="203" spans="1:55" x14ac:dyDescent="0.2">
      <c r="A203" s="16" t="s">
        <v>11</v>
      </c>
      <c r="B203" s="16" t="s">
        <v>6</v>
      </c>
      <c r="C203" s="17">
        <v>11.5</v>
      </c>
      <c r="D203" s="17">
        <v>13</v>
      </c>
      <c r="E203" s="17">
        <v>14</v>
      </c>
      <c r="F203" s="17">
        <v>16</v>
      </c>
      <c r="G203" s="3">
        <v>-6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0.75</v>
      </c>
      <c r="O203">
        <v>1</v>
      </c>
      <c r="P203">
        <v>1</v>
      </c>
      <c r="Q203">
        <v>0.25</v>
      </c>
      <c r="R203">
        <v>1</v>
      </c>
      <c r="S203">
        <v>0</v>
      </c>
      <c r="T203">
        <f t="shared" si="26"/>
        <v>11.5</v>
      </c>
      <c r="U203">
        <f t="shared" si="27"/>
        <v>13</v>
      </c>
      <c r="V203">
        <f t="shared" si="28"/>
        <v>14</v>
      </c>
      <c r="W203">
        <f t="shared" si="29"/>
        <v>16</v>
      </c>
      <c r="X203">
        <f t="shared" si="25"/>
        <v>34</v>
      </c>
      <c r="Y203" t="str">
        <f>+VLOOKUP(A203,'[1]Tárgy kurzusai'!$A:$C,3,0)</f>
        <v>CS:08:00-09:30(E.3.326)</v>
      </c>
      <c r="Z203">
        <f>+VLOOKUP(A203,'[1]Tárgy kurzusai'!$A:$F,6,0)</f>
        <v>2</v>
      </c>
      <c r="AA203" t="s">
        <v>66</v>
      </c>
      <c r="AB203" t="s">
        <v>71</v>
      </c>
      <c r="AC203" t="s">
        <v>51</v>
      </c>
      <c r="AD203" t="s">
        <v>89</v>
      </c>
      <c r="AE203" t="s">
        <v>69</v>
      </c>
      <c r="AF203" t="s">
        <v>69</v>
      </c>
      <c r="AG203" t="s">
        <v>55</v>
      </c>
      <c r="AH203" t="s">
        <v>55</v>
      </c>
      <c r="AI203" t="s">
        <v>55</v>
      </c>
      <c r="AJ203" t="s">
        <v>57</v>
      </c>
      <c r="AK203" t="s">
        <v>58</v>
      </c>
      <c r="AL203" t="s">
        <v>59</v>
      </c>
      <c r="AM203" t="s">
        <v>60</v>
      </c>
      <c r="AN203">
        <v>7</v>
      </c>
      <c r="AO203">
        <v>34</v>
      </c>
      <c r="AP203">
        <v>5</v>
      </c>
      <c r="AQ203">
        <v>4</v>
      </c>
      <c r="AR203" t="s">
        <v>55</v>
      </c>
      <c r="AS203" t="s">
        <v>61</v>
      </c>
      <c r="AT203" t="s">
        <v>55</v>
      </c>
      <c r="AU203" t="s">
        <v>62</v>
      </c>
      <c r="AV203" t="s">
        <v>63</v>
      </c>
      <c r="AW203" t="s">
        <v>60</v>
      </c>
      <c r="AX203" t="s">
        <v>60</v>
      </c>
      <c r="AY203">
        <v>5</v>
      </c>
      <c r="AZ203" t="s">
        <v>64</v>
      </c>
      <c r="BA203">
        <v>7</v>
      </c>
      <c r="BB203">
        <v>6</v>
      </c>
      <c r="BC203" t="s">
        <v>76</v>
      </c>
    </row>
    <row r="204" spans="1:55" x14ac:dyDescent="0.2">
      <c r="A204" s="16" t="s">
        <v>11</v>
      </c>
      <c r="B204" s="16" t="s">
        <v>6</v>
      </c>
      <c r="C204" s="17">
        <v>0.5</v>
      </c>
      <c r="D204" s="17">
        <v>0</v>
      </c>
      <c r="E204" s="17">
        <v>0</v>
      </c>
      <c r="F204" s="17">
        <v>0</v>
      </c>
      <c r="G204" s="3">
        <v>0</v>
      </c>
      <c r="H204">
        <v>0.75</v>
      </c>
      <c r="I204">
        <v>1</v>
      </c>
      <c r="J204">
        <v>0.75</v>
      </c>
      <c r="K204">
        <v>1</v>
      </c>
      <c r="L204">
        <v>1</v>
      </c>
      <c r="M204">
        <v>0.75</v>
      </c>
      <c r="N204">
        <v>1</v>
      </c>
      <c r="O204">
        <v>0</v>
      </c>
      <c r="P204">
        <v>1</v>
      </c>
      <c r="Q204">
        <v>0.5</v>
      </c>
      <c r="R204">
        <v>1</v>
      </c>
      <c r="S204">
        <v>0.5</v>
      </c>
      <c r="T204">
        <f t="shared" si="26"/>
        <v>0.5</v>
      </c>
      <c r="U204">
        <f t="shared" si="27"/>
        <v>0</v>
      </c>
      <c r="V204">
        <f t="shared" si="28"/>
        <v>0</v>
      </c>
      <c r="W204">
        <f t="shared" si="29"/>
        <v>0</v>
      </c>
      <c r="X204">
        <f t="shared" si="25"/>
        <v>40</v>
      </c>
      <c r="Y204" t="str">
        <f>+VLOOKUP(A204,'[1]Tárgy kurzusai'!$A:$C,3,0)</f>
        <v>CS:08:00-09:30(E.3.326)</v>
      </c>
      <c r="Z204">
        <f>+VLOOKUP(A204,'[1]Tárgy kurzusai'!$A:$F,6,0)</f>
        <v>2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</row>
    <row r="205" spans="1:55" x14ac:dyDescent="0.2">
      <c r="A205" s="16" t="s">
        <v>11</v>
      </c>
      <c r="B205" s="16" t="s">
        <v>6</v>
      </c>
      <c r="C205" s="17">
        <v>3.5</v>
      </c>
      <c r="D205" s="17">
        <v>10</v>
      </c>
      <c r="E205" s="17">
        <v>12.5</v>
      </c>
      <c r="F205" s="17">
        <v>14.5</v>
      </c>
      <c r="G205" s="3">
        <v>-23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0.5</v>
      </c>
      <c r="P205">
        <v>1</v>
      </c>
      <c r="Q205">
        <v>0.75</v>
      </c>
      <c r="R205">
        <v>1</v>
      </c>
      <c r="S205">
        <v>1</v>
      </c>
      <c r="T205">
        <f t="shared" si="26"/>
        <v>3.5</v>
      </c>
      <c r="U205">
        <f t="shared" si="27"/>
        <v>10</v>
      </c>
      <c r="V205">
        <f t="shared" si="28"/>
        <v>12.5</v>
      </c>
      <c r="W205">
        <f t="shared" si="29"/>
        <v>14.5</v>
      </c>
      <c r="X205">
        <f t="shared" si="25"/>
        <v>17</v>
      </c>
      <c r="Y205" t="str">
        <f>+VLOOKUP(A205,'[1]Tárgy kurzusai'!$A:$C,3,0)</f>
        <v>CS:08:00-09:30(E.3.326)</v>
      </c>
      <c r="Z205">
        <f>+VLOOKUP(A205,'[1]Tárgy kurzusai'!$A:$F,6,0)</f>
        <v>2</v>
      </c>
      <c r="AA205" t="s">
        <v>66</v>
      </c>
      <c r="AB205" t="s">
        <v>71</v>
      </c>
      <c r="AC205" t="s">
        <v>74</v>
      </c>
      <c r="AD205" t="s">
        <v>60</v>
      </c>
      <c r="AE205" t="s">
        <v>69</v>
      </c>
      <c r="AF205" t="s">
        <v>53</v>
      </c>
      <c r="AG205" t="s">
        <v>55</v>
      </c>
      <c r="AH205" t="s">
        <v>55</v>
      </c>
      <c r="AI205" t="s">
        <v>55</v>
      </c>
      <c r="AJ205" t="s">
        <v>57</v>
      </c>
      <c r="AK205" t="s">
        <v>58</v>
      </c>
      <c r="AL205" t="s">
        <v>59</v>
      </c>
      <c r="AM205" t="s">
        <v>60</v>
      </c>
      <c r="AN205">
        <v>8</v>
      </c>
      <c r="AO205">
        <v>40</v>
      </c>
      <c r="AP205">
        <v>5</v>
      </c>
      <c r="AQ205">
        <v>7</v>
      </c>
      <c r="AR205" t="s">
        <v>55</v>
      </c>
      <c r="AS205" t="s">
        <v>61</v>
      </c>
      <c r="AT205" t="s">
        <v>56</v>
      </c>
      <c r="AU205" t="s">
        <v>62</v>
      </c>
      <c r="AV205" t="s">
        <v>63</v>
      </c>
      <c r="AW205" t="s">
        <v>60</v>
      </c>
      <c r="AX205" t="s">
        <v>60</v>
      </c>
      <c r="AY205">
        <v>4</v>
      </c>
      <c r="AZ205" t="s">
        <v>78</v>
      </c>
      <c r="BA205">
        <v>9</v>
      </c>
      <c r="BB205">
        <v>8</v>
      </c>
      <c r="BC205" t="s">
        <v>70</v>
      </c>
    </row>
    <row r="206" spans="1:55" x14ac:dyDescent="0.2">
      <c r="A206" s="16" t="s">
        <v>11</v>
      </c>
      <c r="B206" s="16" t="s">
        <v>6</v>
      </c>
      <c r="C206" s="17">
        <v>13.5</v>
      </c>
      <c r="D206" s="17">
        <v>11</v>
      </c>
      <c r="E206" s="17">
        <v>13.5</v>
      </c>
      <c r="F206" s="17">
        <v>16</v>
      </c>
      <c r="G206" s="3">
        <v>-7.5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f t="shared" si="26"/>
        <v>13.5</v>
      </c>
      <c r="U206">
        <f t="shared" si="27"/>
        <v>11</v>
      </c>
      <c r="V206">
        <f t="shared" si="28"/>
        <v>13.5</v>
      </c>
      <c r="W206">
        <f t="shared" si="29"/>
        <v>16</v>
      </c>
      <c r="X206">
        <f t="shared" si="25"/>
        <v>32.5</v>
      </c>
      <c r="Y206" t="str">
        <f>+VLOOKUP(A206,'[1]Tárgy kurzusai'!$A:$C,3,0)</f>
        <v>CS:08:00-09:30(E.3.326)</v>
      </c>
      <c r="Z206">
        <f>+VLOOKUP(A206,'[1]Tárgy kurzusai'!$A:$F,6,0)</f>
        <v>2</v>
      </c>
      <c r="AA206" t="s">
        <v>49</v>
      </c>
      <c r="AB206" t="s">
        <v>80</v>
      </c>
      <c r="AC206" t="s">
        <v>72</v>
      </c>
      <c r="AD206" t="s">
        <v>68</v>
      </c>
      <c r="AE206" t="s">
        <v>69</v>
      </c>
      <c r="AF206" t="s">
        <v>69</v>
      </c>
      <c r="AG206" t="s">
        <v>55</v>
      </c>
      <c r="AH206" t="s">
        <v>55</v>
      </c>
      <c r="AI206" t="s">
        <v>55</v>
      </c>
      <c r="AJ206" t="s">
        <v>57</v>
      </c>
      <c r="AK206" t="s">
        <v>58</v>
      </c>
      <c r="AL206" t="s">
        <v>59</v>
      </c>
      <c r="AM206" t="s">
        <v>60</v>
      </c>
      <c r="AN206">
        <v>6</v>
      </c>
      <c r="AO206">
        <v>33</v>
      </c>
      <c r="AP206">
        <v>5</v>
      </c>
      <c r="AQ206">
        <v>13</v>
      </c>
      <c r="AR206" t="s">
        <v>55</v>
      </c>
      <c r="AS206" t="s">
        <v>55</v>
      </c>
      <c r="AT206" t="s">
        <v>55</v>
      </c>
      <c r="AU206" t="s">
        <v>62</v>
      </c>
      <c r="AV206" t="s">
        <v>63</v>
      </c>
      <c r="AW206" t="s">
        <v>60</v>
      </c>
      <c r="AX206" t="s">
        <v>60</v>
      </c>
      <c r="AY206">
        <v>3</v>
      </c>
      <c r="AZ206" t="s">
        <v>64</v>
      </c>
      <c r="BA206">
        <v>4</v>
      </c>
      <c r="BB206">
        <v>6</v>
      </c>
      <c r="BC206" t="s">
        <v>65</v>
      </c>
    </row>
    <row r="207" spans="1:55" x14ac:dyDescent="0.2">
      <c r="A207" s="16" t="s">
        <v>11</v>
      </c>
      <c r="B207" s="16" t="s">
        <v>6</v>
      </c>
      <c r="C207" s="17">
        <v>15</v>
      </c>
      <c r="D207" s="17">
        <v>0</v>
      </c>
      <c r="E207" s="17">
        <v>9.5</v>
      </c>
      <c r="F207" s="17">
        <v>14.5</v>
      </c>
      <c r="G207" s="3">
        <v>-9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0.67</v>
      </c>
      <c r="P207">
        <v>1</v>
      </c>
      <c r="Q207">
        <v>1</v>
      </c>
      <c r="R207">
        <v>1</v>
      </c>
      <c r="S207">
        <v>1</v>
      </c>
      <c r="T207">
        <f t="shared" si="26"/>
        <v>15</v>
      </c>
      <c r="U207">
        <f t="shared" si="27"/>
        <v>0</v>
      </c>
      <c r="V207">
        <f t="shared" si="28"/>
        <v>9.5</v>
      </c>
      <c r="W207">
        <f t="shared" si="29"/>
        <v>14.5</v>
      </c>
      <c r="X207">
        <f t="shared" si="25"/>
        <v>31</v>
      </c>
      <c r="Y207" t="str">
        <f>+VLOOKUP(A207,'[1]Tárgy kurzusai'!$A:$C,3,0)</f>
        <v>CS:08:00-09:30(E.3.326)</v>
      </c>
      <c r="Z207">
        <f>+VLOOKUP(A207,'[1]Tárgy kurzusai'!$A:$F,6,0)</f>
        <v>2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</row>
    <row r="208" spans="1:55" x14ac:dyDescent="0.2">
      <c r="A208" s="16" t="s">
        <v>11</v>
      </c>
      <c r="B208" s="16" t="s">
        <v>6</v>
      </c>
      <c r="C208" s="17">
        <v>12</v>
      </c>
      <c r="D208" s="17">
        <v>2</v>
      </c>
      <c r="E208" s="17">
        <v>5.5</v>
      </c>
      <c r="F208" s="17">
        <v>8.5</v>
      </c>
      <c r="G208" s="3">
        <v>-9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0.33</v>
      </c>
      <c r="P208">
        <v>1</v>
      </c>
      <c r="Q208">
        <v>0.5</v>
      </c>
      <c r="R208">
        <v>0.75</v>
      </c>
      <c r="S208">
        <v>1</v>
      </c>
      <c r="T208">
        <f t="shared" si="26"/>
        <v>12</v>
      </c>
      <c r="U208">
        <f t="shared" si="27"/>
        <v>2</v>
      </c>
      <c r="V208">
        <f t="shared" si="28"/>
        <v>5.5</v>
      </c>
      <c r="W208">
        <f t="shared" si="29"/>
        <v>8.5</v>
      </c>
      <c r="X208">
        <f t="shared" si="25"/>
        <v>31</v>
      </c>
      <c r="Y208" t="str">
        <f>+VLOOKUP(A208,'[1]Tárgy kurzusai'!$A:$C,3,0)</f>
        <v>CS:08:00-09:30(E.3.326)</v>
      </c>
      <c r="Z208">
        <f>+VLOOKUP(A208,'[1]Tárgy kurzusai'!$A:$F,6,0)</f>
        <v>2</v>
      </c>
      <c r="AA208" t="s">
        <v>49</v>
      </c>
      <c r="AB208" t="s">
        <v>80</v>
      </c>
      <c r="AC208" t="s">
        <v>72</v>
      </c>
      <c r="AD208" t="s">
        <v>73</v>
      </c>
      <c r="AE208" t="s">
        <v>69</v>
      </c>
      <c r="AF208" t="s">
        <v>69</v>
      </c>
      <c r="AG208" t="s">
        <v>56</v>
      </c>
      <c r="AH208" t="s">
        <v>55</v>
      </c>
      <c r="AI208" t="s">
        <v>56</v>
      </c>
      <c r="AJ208" t="s">
        <v>57</v>
      </c>
      <c r="AK208" t="s">
        <v>58</v>
      </c>
      <c r="AL208" t="s">
        <v>59</v>
      </c>
      <c r="AM208" t="s">
        <v>60</v>
      </c>
      <c r="AN208">
        <v>6</v>
      </c>
      <c r="AO208">
        <v>34</v>
      </c>
      <c r="AP208">
        <v>5</v>
      </c>
      <c r="AQ208">
        <v>13</v>
      </c>
      <c r="AR208" t="s">
        <v>55</v>
      </c>
      <c r="AS208" t="s">
        <v>55</v>
      </c>
      <c r="AT208" t="s">
        <v>56</v>
      </c>
      <c r="AU208" t="s">
        <v>62</v>
      </c>
      <c r="AV208" t="s">
        <v>63</v>
      </c>
      <c r="AW208" t="s">
        <v>60</v>
      </c>
      <c r="AX208" t="s">
        <v>60</v>
      </c>
      <c r="AY208">
        <v>5</v>
      </c>
      <c r="AZ208" t="s">
        <v>64</v>
      </c>
      <c r="BA208">
        <v>6</v>
      </c>
      <c r="BB208">
        <v>9</v>
      </c>
      <c r="BC208" t="s">
        <v>76</v>
      </c>
    </row>
    <row r="209" spans="1:55" x14ac:dyDescent="0.2">
      <c r="A209" s="16" t="s">
        <v>11</v>
      </c>
      <c r="B209" s="16" t="s">
        <v>6</v>
      </c>
      <c r="C209" s="17">
        <v>13.5</v>
      </c>
      <c r="D209" s="17">
        <v>14.5</v>
      </c>
      <c r="E209" s="17">
        <v>4</v>
      </c>
      <c r="F209" s="17">
        <v>16</v>
      </c>
      <c r="G209" s="3">
        <v>-8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0.83</v>
      </c>
      <c r="P209">
        <v>1</v>
      </c>
      <c r="Q209">
        <v>1</v>
      </c>
      <c r="R209">
        <v>1</v>
      </c>
      <c r="S209">
        <v>1</v>
      </c>
      <c r="T209">
        <f t="shared" si="26"/>
        <v>13.5</v>
      </c>
      <c r="U209">
        <f t="shared" si="27"/>
        <v>14.5</v>
      </c>
      <c r="V209">
        <f t="shared" si="28"/>
        <v>4</v>
      </c>
      <c r="W209">
        <f t="shared" si="29"/>
        <v>16</v>
      </c>
      <c r="X209">
        <f t="shared" si="25"/>
        <v>32</v>
      </c>
      <c r="Y209" t="str">
        <f>+VLOOKUP(A209,'[1]Tárgy kurzusai'!$A:$C,3,0)</f>
        <v>CS:08:00-09:30(E.3.326)</v>
      </c>
      <c r="Z209">
        <f>+VLOOKUP(A209,'[1]Tárgy kurzusai'!$A:$F,6,0)</f>
        <v>2</v>
      </c>
      <c r="AA209" t="s">
        <v>66</v>
      </c>
      <c r="AB209" t="s">
        <v>71</v>
      </c>
      <c r="AC209" t="s">
        <v>72</v>
      </c>
      <c r="AD209" t="s">
        <v>93</v>
      </c>
      <c r="AE209" t="s">
        <v>69</v>
      </c>
      <c r="AF209" t="s">
        <v>69</v>
      </c>
      <c r="AG209" t="s">
        <v>55</v>
      </c>
      <c r="AH209" t="s">
        <v>55</v>
      </c>
      <c r="AI209" t="s">
        <v>55</v>
      </c>
      <c r="AJ209" t="s">
        <v>57</v>
      </c>
      <c r="AK209" t="s">
        <v>58</v>
      </c>
      <c r="AL209" t="s">
        <v>59</v>
      </c>
      <c r="AM209" t="s">
        <v>60</v>
      </c>
      <c r="AN209">
        <v>6</v>
      </c>
      <c r="AO209">
        <v>30</v>
      </c>
      <c r="AP209">
        <v>5</v>
      </c>
      <c r="AQ209">
        <v>10</v>
      </c>
      <c r="AR209" t="s">
        <v>55</v>
      </c>
      <c r="AS209" t="s">
        <v>61</v>
      </c>
      <c r="AT209" t="s">
        <v>56</v>
      </c>
      <c r="AU209" t="s">
        <v>62</v>
      </c>
      <c r="AV209" t="s">
        <v>63</v>
      </c>
      <c r="AW209" t="s">
        <v>60</v>
      </c>
      <c r="AX209" t="s">
        <v>60</v>
      </c>
      <c r="AY209" t="s">
        <v>60</v>
      </c>
      <c r="AZ209" t="s">
        <v>64</v>
      </c>
      <c r="BA209">
        <v>8</v>
      </c>
      <c r="BB209">
        <v>10</v>
      </c>
      <c r="BC209" t="s">
        <v>76</v>
      </c>
    </row>
    <row r="210" spans="1:55" x14ac:dyDescent="0.2">
      <c r="A210" s="16" t="s">
        <v>11</v>
      </c>
      <c r="B210" s="16" t="s">
        <v>6</v>
      </c>
      <c r="C210" s="17">
        <v>15.5</v>
      </c>
      <c r="D210" s="17">
        <v>16</v>
      </c>
      <c r="E210" s="17">
        <v>11</v>
      </c>
      <c r="F210" s="17">
        <v>15.5</v>
      </c>
      <c r="G210" s="3">
        <v>-3</v>
      </c>
      <c r="H210">
        <v>0.75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0.5</v>
      </c>
      <c r="R210">
        <v>1</v>
      </c>
      <c r="S210">
        <v>1</v>
      </c>
      <c r="T210">
        <f t="shared" si="26"/>
        <v>15.5</v>
      </c>
      <c r="U210">
        <f t="shared" si="27"/>
        <v>16</v>
      </c>
      <c r="V210">
        <f t="shared" si="28"/>
        <v>11</v>
      </c>
      <c r="W210">
        <f t="shared" si="29"/>
        <v>15.5</v>
      </c>
      <c r="X210">
        <f t="shared" si="25"/>
        <v>37</v>
      </c>
      <c r="Y210" t="str">
        <f>+VLOOKUP(A210,'[1]Tárgy kurzusai'!$A:$C,3,0)</f>
        <v>CS:08:00-09:30(E.3.326)</v>
      </c>
      <c r="Z210">
        <f>+VLOOKUP(A210,'[1]Tárgy kurzusai'!$A:$F,6,0)</f>
        <v>2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</row>
    <row r="211" spans="1:55" x14ac:dyDescent="0.2">
      <c r="A211" s="16" t="s">
        <v>11</v>
      </c>
      <c r="B211" s="16" t="s">
        <v>6</v>
      </c>
      <c r="C211" s="17">
        <v>8.5</v>
      </c>
      <c r="D211" s="17">
        <v>15.5</v>
      </c>
      <c r="E211" s="17">
        <v>0</v>
      </c>
      <c r="F211" s="17">
        <v>14</v>
      </c>
      <c r="G211" s="3">
        <v>0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0.75</v>
      </c>
      <c r="O211">
        <v>0</v>
      </c>
      <c r="P211">
        <v>1</v>
      </c>
      <c r="Q211">
        <v>1</v>
      </c>
      <c r="R211">
        <v>1</v>
      </c>
      <c r="S211">
        <v>1</v>
      </c>
      <c r="T211">
        <f t="shared" si="26"/>
        <v>8.5</v>
      </c>
      <c r="U211">
        <f t="shared" si="27"/>
        <v>15.5</v>
      </c>
      <c r="V211">
        <f t="shared" si="28"/>
        <v>0</v>
      </c>
      <c r="W211">
        <f t="shared" si="29"/>
        <v>14</v>
      </c>
      <c r="X211">
        <f t="shared" si="25"/>
        <v>40</v>
      </c>
      <c r="Y211" t="str">
        <f>+VLOOKUP(A211,'[1]Tárgy kurzusai'!$A:$C,3,0)</f>
        <v>CS:08:00-09:30(E.3.326)</v>
      </c>
      <c r="Z211">
        <f>+VLOOKUP(A211,'[1]Tárgy kurzusai'!$A:$F,6,0)</f>
        <v>2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</row>
    <row r="212" spans="1:55" x14ac:dyDescent="0.2">
      <c r="A212" s="16" t="s">
        <v>11</v>
      </c>
      <c r="B212" s="16" t="s">
        <v>6</v>
      </c>
      <c r="C212" s="17">
        <v>10.5</v>
      </c>
      <c r="D212" s="17">
        <v>13</v>
      </c>
      <c r="E212" s="17">
        <v>10.5</v>
      </c>
      <c r="F212" s="17">
        <v>13</v>
      </c>
      <c r="G212" s="3">
        <v>-12.5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1</v>
      </c>
      <c r="Q212">
        <v>1</v>
      </c>
      <c r="R212">
        <v>1</v>
      </c>
      <c r="S212">
        <v>1</v>
      </c>
      <c r="T212">
        <f t="shared" si="26"/>
        <v>10.5</v>
      </c>
      <c r="U212">
        <f t="shared" si="27"/>
        <v>13</v>
      </c>
      <c r="V212">
        <f t="shared" si="28"/>
        <v>10.5</v>
      </c>
      <c r="W212">
        <f t="shared" si="29"/>
        <v>13</v>
      </c>
      <c r="X212">
        <f t="shared" si="25"/>
        <v>27.5</v>
      </c>
      <c r="Y212" t="str">
        <f>+VLOOKUP(A212,'[1]Tárgy kurzusai'!$A:$C,3,0)</f>
        <v>CS:08:00-09:30(E.3.326)</v>
      </c>
      <c r="Z212">
        <f>+VLOOKUP(A212,'[1]Tárgy kurzusai'!$A:$F,6,0)</f>
        <v>2</v>
      </c>
      <c r="AA212" t="s">
        <v>110</v>
      </c>
      <c r="AB212" t="s">
        <v>71</v>
      </c>
      <c r="AC212" t="s">
        <v>74</v>
      </c>
      <c r="AD212" t="s">
        <v>60</v>
      </c>
      <c r="AE212" t="s">
        <v>69</v>
      </c>
      <c r="AF212" t="s">
        <v>69</v>
      </c>
      <c r="AG212" t="s">
        <v>55</v>
      </c>
      <c r="AH212" t="s">
        <v>55</v>
      </c>
      <c r="AI212" t="s">
        <v>55</v>
      </c>
      <c r="AJ212" t="s">
        <v>57</v>
      </c>
      <c r="AK212" t="s">
        <v>58</v>
      </c>
      <c r="AL212" t="s">
        <v>59</v>
      </c>
      <c r="AM212" t="s">
        <v>60</v>
      </c>
      <c r="AN212">
        <v>6</v>
      </c>
      <c r="AO212">
        <v>30</v>
      </c>
      <c r="AP212">
        <v>5</v>
      </c>
      <c r="AQ212">
        <v>12</v>
      </c>
      <c r="AR212" t="s">
        <v>55</v>
      </c>
      <c r="AS212" t="s">
        <v>61</v>
      </c>
      <c r="AT212" t="s">
        <v>56</v>
      </c>
      <c r="AU212" t="s">
        <v>62</v>
      </c>
      <c r="AV212" t="s">
        <v>63</v>
      </c>
      <c r="AW212" t="s">
        <v>60</v>
      </c>
      <c r="AX212" t="s">
        <v>60</v>
      </c>
      <c r="AY212">
        <v>5</v>
      </c>
      <c r="AZ212" t="s">
        <v>64</v>
      </c>
      <c r="BA212">
        <v>3</v>
      </c>
      <c r="BB212">
        <v>4</v>
      </c>
      <c r="BC212" t="s">
        <v>70</v>
      </c>
    </row>
    <row r="213" spans="1:55" x14ac:dyDescent="0.2">
      <c r="A213" s="16" t="s">
        <v>11</v>
      </c>
      <c r="B213" s="16" t="s">
        <v>6</v>
      </c>
      <c r="C213" s="17">
        <v>13.5</v>
      </c>
      <c r="D213" s="17">
        <v>13</v>
      </c>
      <c r="E213" s="17">
        <v>10</v>
      </c>
      <c r="F213" s="17">
        <v>15</v>
      </c>
      <c r="G213" s="3">
        <v>-4.5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0.75</v>
      </c>
      <c r="R213">
        <v>1</v>
      </c>
      <c r="S213">
        <v>1</v>
      </c>
      <c r="T213">
        <f t="shared" si="26"/>
        <v>13.5</v>
      </c>
      <c r="U213">
        <f t="shared" si="27"/>
        <v>13</v>
      </c>
      <c r="V213">
        <f t="shared" si="28"/>
        <v>10</v>
      </c>
      <c r="W213">
        <f t="shared" si="29"/>
        <v>15</v>
      </c>
      <c r="X213">
        <f t="shared" si="25"/>
        <v>35.5</v>
      </c>
      <c r="Y213" t="str">
        <f>+VLOOKUP(A213,'[1]Tárgy kurzusai'!$A:$C,3,0)</f>
        <v>CS:08:00-09:30(E.3.326)</v>
      </c>
      <c r="Z213">
        <f>+VLOOKUP(A213,'[1]Tárgy kurzusai'!$A:$F,6,0)</f>
        <v>2</v>
      </c>
      <c r="AA213" t="s">
        <v>49</v>
      </c>
      <c r="AB213" t="s">
        <v>80</v>
      </c>
      <c r="AC213" t="s">
        <v>74</v>
      </c>
      <c r="AD213" t="s">
        <v>60</v>
      </c>
      <c r="AE213" t="s">
        <v>53</v>
      </c>
      <c r="AF213" t="s">
        <v>54</v>
      </c>
      <c r="AG213" t="s">
        <v>55</v>
      </c>
      <c r="AH213" t="s">
        <v>55</v>
      </c>
      <c r="AI213" t="s">
        <v>55</v>
      </c>
      <c r="AJ213" t="s">
        <v>57</v>
      </c>
      <c r="AK213" t="s">
        <v>58</v>
      </c>
      <c r="AL213" t="s">
        <v>59</v>
      </c>
      <c r="AM213" t="s">
        <v>60</v>
      </c>
      <c r="AN213">
        <v>7</v>
      </c>
      <c r="AO213">
        <v>33</v>
      </c>
      <c r="AP213">
        <v>5</v>
      </c>
      <c r="AQ213">
        <v>13</v>
      </c>
      <c r="AR213" t="s">
        <v>55</v>
      </c>
      <c r="AS213" t="s">
        <v>61</v>
      </c>
      <c r="AT213" t="s">
        <v>56</v>
      </c>
      <c r="AU213" t="s">
        <v>62</v>
      </c>
      <c r="AV213" t="s">
        <v>63</v>
      </c>
      <c r="AW213" t="s">
        <v>60</v>
      </c>
      <c r="AX213" t="s">
        <v>60</v>
      </c>
      <c r="AY213">
        <v>5</v>
      </c>
      <c r="AZ213" t="s">
        <v>64</v>
      </c>
      <c r="BA213">
        <v>6</v>
      </c>
      <c r="BB213">
        <v>6</v>
      </c>
      <c r="BC213" t="s">
        <v>76</v>
      </c>
    </row>
    <row r="214" spans="1:55" x14ac:dyDescent="0.2">
      <c r="A214" s="16" t="s">
        <v>11</v>
      </c>
      <c r="B214" s="16" t="s">
        <v>6</v>
      </c>
      <c r="C214" s="17">
        <v>10.5</v>
      </c>
      <c r="D214" s="17">
        <v>2.5</v>
      </c>
      <c r="E214" s="17">
        <v>6</v>
      </c>
      <c r="F214" s="17">
        <v>12</v>
      </c>
      <c r="G214" s="3">
        <v>-15</v>
      </c>
      <c r="H214">
        <v>0.75</v>
      </c>
      <c r="I214">
        <v>1</v>
      </c>
      <c r="J214">
        <v>0</v>
      </c>
      <c r="K214">
        <v>1</v>
      </c>
      <c r="L214">
        <v>0.5</v>
      </c>
      <c r="M214">
        <v>1</v>
      </c>
      <c r="N214">
        <v>1</v>
      </c>
      <c r="O214">
        <v>0.67</v>
      </c>
      <c r="P214">
        <v>1</v>
      </c>
      <c r="Q214">
        <v>0.25</v>
      </c>
      <c r="R214">
        <v>1</v>
      </c>
      <c r="S214">
        <v>1</v>
      </c>
      <c r="T214">
        <f t="shared" si="26"/>
        <v>10.5</v>
      </c>
      <c r="U214">
        <f t="shared" si="27"/>
        <v>2.5</v>
      </c>
      <c r="V214">
        <f t="shared" si="28"/>
        <v>6</v>
      </c>
      <c r="W214">
        <f t="shared" si="29"/>
        <v>12</v>
      </c>
      <c r="X214">
        <f t="shared" si="25"/>
        <v>25</v>
      </c>
      <c r="Y214" t="str">
        <f>+VLOOKUP(A214,'[1]Tárgy kurzusai'!$A:$C,3,0)</f>
        <v>CS:08:00-09:30(E.3.326)</v>
      </c>
      <c r="Z214">
        <f>+VLOOKUP(A214,'[1]Tárgy kurzusai'!$A:$F,6,0)</f>
        <v>2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</row>
    <row r="215" spans="1:55" x14ac:dyDescent="0.2">
      <c r="A215" s="16" t="s">
        <v>11</v>
      </c>
      <c r="B215" s="16" t="s">
        <v>6</v>
      </c>
      <c r="C215" s="17">
        <v>9.5</v>
      </c>
      <c r="D215" s="17">
        <v>13.5</v>
      </c>
      <c r="E215" s="17">
        <v>11.5</v>
      </c>
      <c r="F215" s="17">
        <v>10</v>
      </c>
      <c r="G215" s="3">
        <v>-13.5</v>
      </c>
      <c r="H215">
        <v>1</v>
      </c>
      <c r="I215">
        <v>1</v>
      </c>
      <c r="J215">
        <v>0.75</v>
      </c>
      <c r="K215">
        <v>1</v>
      </c>
      <c r="L215">
        <v>1</v>
      </c>
      <c r="M215">
        <v>0</v>
      </c>
      <c r="N215">
        <v>0.75</v>
      </c>
      <c r="O215">
        <v>1</v>
      </c>
      <c r="P215">
        <v>0</v>
      </c>
      <c r="Q215">
        <v>0.5</v>
      </c>
      <c r="R215">
        <v>1</v>
      </c>
      <c r="S215">
        <v>1</v>
      </c>
      <c r="T215">
        <f t="shared" si="26"/>
        <v>9.5</v>
      </c>
      <c r="U215">
        <f t="shared" si="27"/>
        <v>13.5</v>
      </c>
      <c r="V215">
        <f t="shared" si="28"/>
        <v>11.5</v>
      </c>
      <c r="W215">
        <f t="shared" si="29"/>
        <v>10</v>
      </c>
      <c r="X215">
        <f t="shared" si="25"/>
        <v>26.5</v>
      </c>
      <c r="Y215" t="str">
        <f>+VLOOKUP(A215,'[1]Tárgy kurzusai'!$A:$C,3,0)</f>
        <v>CS:08:00-09:30(E.3.326)</v>
      </c>
      <c r="Z215">
        <f>+VLOOKUP(A215,'[1]Tárgy kurzusai'!$A:$F,6,0)</f>
        <v>2</v>
      </c>
      <c r="AA215" t="s">
        <v>49</v>
      </c>
      <c r="AB215" t="s">
        <v>50</v>
      </c>
      <c r="AC215" t="s">
        <v>75</v>
      </c>
      <c r="AD215" t="s">
        <v>77</v>
      </c>
      <c r="AE215" t="s">
        <v>54</v>
      </c>
      <c r="AF215" t="s">
        <v>53</v>
      </c>
      <c r="AG215" t="s">
        <v>55</v>
      </c>
      <c r="AH215" t="s">
        <v>55</v>
      </c>
      <c r="AI215" t="s">
        <v>55</v>
      </c>
      <c r="AJ215" t="s">
        <v>57</v>
      </c>
      <c r="AK215" t="s">
        <v>58</v>
      </c>
      <c r="AL215" t="s">
        <v>96</v>
      </c>
      <c r="AM215">
        <v>0</v>
      </c>
      <c r="AN215">
        <v>7</v>
      </c>
      <c r="AO215">
        <v>39</v>
      </c>
      <c r="AP215">
        <v>7</v>
      </c>
      <c r="AQ215">
        <v>13</v>
      </c>
      <c r="AR215" t="s">
        <v>55</v>
      </c>
      <c r="AS215" t="s">
        <v>55</v>
      </c>
      <c r="AT215" t="s">
        <v>55</v>
      </c>
      <c r="AU215" t="s">
        <v>62</v>
      </c>
      <c r="AV215" t="s">
        <v>63</v>
      </c>
      <c r="AW215" t="s">
        <v>60</v>
      </c>
      <c r="AX215" t="s">
        <v>60</v>
      </c>
      <c r="AY215">
        <v>4</v>
      </c>
      <c r="AZ215" t="s">
        <v>64</v>
      </c>
      <c r="BA215">
        <v>2</v>
      </c>
      <c r="BB215">
        <v>0</v>
      </c>
      <c r="BC215" t="s">
        <v>76</v>
      </c>
    </row>
    <row r="216" spans="1:55" x14ac:dyDescent="0.2">
      <c r="A216" s="16" t="s">
        <v>11</v>
      </c>
      <c r="B216" s="16" t="s">
        <v>6</v>
      </c>
      <c r="C216" s="17">
        <v>14</v>
      </c>
      <c r="D216" s="17">
        <v>15</v>
      </c>
      <c r="E216" s="17">
        <v>14</v>
      </c>
      <c r="F216" s="17">
        <v>0</v>
      </c>
      <c r="G216" s="3">
        <v>-9</v>
      </c>
      <c r="H216">
        <v>1</v>
      </c>
      <c r="I216">
        <v>1</v>
      </c>
      <c r="J216">
        <v>1</v>
      </c>
      <c r="K216">
        <v>1</v>
      </c>
      <c r="L216">
        <v>0.5</v>
      </c>
      <c r="M216">
        <v>0.5</v>
      </c>
      <c r="N216">
        <v>0.75</v>
      </c>
      <c r="O216">
        <v>1</v>
      </c>
      <c r="P216">
        <v>1</v>
      </c>
      <c r="Q216">
        <v>1</v>
      </c>
      <c r="R216">
        <v>1</v>
      </c>
      <c r="S216">
        <v>1</v>
      </c>
      <c r="T216">
        <f t="shared" si="26"/>
        <v>14</v>
      </c>
      <c r="U216">
        <f t="shared" si="27"/>
        <v>15</v>
      </c>
      <c r="V216">
        <f t="shared" si="28"/>
        <v>14</v>
      </c>
      <c r="W216">
        <f t="shared" si="29"/>
        <v>0</v>
      </c>
      <c r="X216">
        <f t="shared" si="25"/>
        <v>31</v>
      </c>
      <c r="Y216" t="str">
        <f>+VLOOKUP(A216,'[1]Tárgy kurzusai'!$A:$C,3,0)</f>
        <v>CS:08:00-09:30(E.3.326)</v>
      </c>
      <c r="Z216">
        <f>+VLOOKUP(A216,'[1]Tárgy kurzusai'!$A:$F,6,0)</f>
        <v>2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</row>
    <row r="217" spans="1:55" x14ac:dyDescent="0.2">
      <c r="A217" s="16" t="s">
        <v>11</v>
      </c>
      <c r="B217" s="16" t="s">
        <v>6</v>
      </c>
      <c r="C217" s="17">
        <v>9.5</v>
      </c>
      <c r="D217" s="17">
        <v>8</v>
      </c>
      <c r="E217" s="17">
        <v>8</v>
      </c>
      <c r="F217" s="17">
        <v>11</v>
      </c>
      <c r="G217" s="3">
        <v>-12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0.83</v>
      </c>
      <c r="P217">
        <v>1</v>
      </c>
      <c r="Q217">
        <v>0</v>
      </c>
      <c r="R217">
        <v>1</v>
      </c>
      <c r="S217">
        <v>1</v>
      </c>
      <c r="T217">
        <f t="shared" si="26"/>
        <v>9.5</v>
      </c>
      <c r="U217">
        <f t="shared" si="27"/>
        <v>8</v>
      </c>
      <c r="V217">
        <f t="shared" si="28"/>
        <v>8</v>
      </c>
      <c r="W217">
        <f t="shared" si="29"/>
        <v>11</v>
      </c>
      <c r="X217">
        <f t="shared" si="25"/>
        <v>28</v>
      </c>
      <c r="Y217" t="str">
        <f>+VLOOKUP(A217,'[1]Tárgy kurzusai'!$A:$C,3,0)</f>
        <v>CS:08:00-09:30(E.3.326)</v>
      </c>
      <c r="Z217">
        <f>+VLOOKUP(A217,'[1]Tárgy kurzusai'!$A:$F,6,0)</f>
        <v>2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</row>
    <row r="218" spans="1:55" x14ac:dyDescent="0.2">
      <c r="A218" s="16" t="s">
        <v>11</v>
      </c>
      <c r="B218" s="16" t="s">
        <v>6</v>
      </c>
      <c r="C218" s="17">
        <v>0</v>
      </c>
      <c r="D218" s="17">
        <v>6</v>
      </c>
      <c r="E218" s="17">
        <v>4</v>
      </c>
      <c r="F218" s="17">
        <v>7</v>
      </c>
      <c r="G218" s="3">
        <v>-12.5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0.75</v>
      </c>
      <c r="O218">
        <v>1</v>
      </c>
      <c r="P218">
        <v>1</v>
      </c>
      <c r="Q218">
        <v>0.75</v>
      </c>
      <c r="R218">
        <v>1</v>
      </c>
      <c r="S218">
        <v>1</v>
      </c>
      <c r="T218">
        <f t="shared" si="26"/>
        <v>0</v>
      </c>
      <c r="U218">
        <f t="shared" si="27"/>
        <v>6</v>
      </c>
      <c r="V218">
        <f t="shared" si="28"/>
        <v>4</v>
      </c>
      <c r="W218">
        <f t="shared" si="29"/>
        <v>7</v>
      </c>
      <c r="X218">
        <f t="shared" si="25"/>
        <v>27.5</v>
      </c>
      <c r="Y218" t="str">
        <f>+VLOOKUP(A218,'[1]Tárgy kurzusai'!$A:$C,3,0)</f>
        <v>CS:08:00-09:30(E.3.326)</v>
      </c>
      <c r="Z218">
        <f>+VLOOKUP(A218,'[1]Tárgy kurzusai'!$A:$F,6,0)</f>
        <v>2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</row>
    <row r="219" spans="1:55" x14ac:dyDescent="0.2">
      <c r="A219" s="18" t="s">
        <v>12</v>
      </c>
      <c r="B219" s="18" t="s">
        <v>6</v>
      </c>
      <c r="C219" s="3">
        <v>3</v>
      </c>
      <c r="D219" s="3" t="s">
        <v>13</v>
      </c>
      <c r="E219" s="3">
        <v>10.5</v>
      </c>
      <c r="F219" s="3" t="s">
        <v>13</v>
      </c>
      <c r="G219" s="3" t="e">
        <v>#N/A</v>
      </c>
      <c r="H219">
        <v>1</v>
      </c>
      <c r="I219">
        <v>0.75</v>
      </c>
      <c r="J219">
        <v>1</v>
      </c>
      <c r="K219">
        <v>0</v>
      </c>
      <c r="L219">
        <v>0</v>
      </c>
      <c r="M219">
        <v>0.25</v>
      </c>
      <c r="N219">
        <v>1</v>
      </c>
      <c r="O219">
        <v>0.67</v>
      </c>
      <c r="P219">
        <v>1</v>
      </c>
      <c r="Q219">
        <v>0.5</v>
      </c>
      <c r="R219">
        <v>0</v>
      </c>
      <c r="S219">
        <v>0</v>
      </c>
      <c r="T219">
        <f t="shared" si="26"/>
        <v>3</v>
      </c>
      <c r="U219" t="str">
        <f t="shared" si="27"/>
        <v>-</v>
      </c>
      <c r="V219">
        <f t="shared" si="28"/>
        <v>10.5</v>
      </c>
      <c r="W219" t="str">
        <f t="shared" si="29"/>
        <v>-</v>
      </c>
      <c r="X219" t="e">
        <f t="shared" si="25"/>
        <v>#N/A</v>
      </c>
      <c r="Y219" t="str">
        <f>+VLOOKUP(A219,'[1]Tárgy kurzusai'!$A:$C,3,0)</f>
        <v>K:17:20-18:50(E.3.395)</v>
      </c>
      <c r="Z219">
        <f>+VLOOKUP(A219,'[1]Tárgy kurzusai'!$A:$F,6,0)</f>
        <v>4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</row>
    <row r="220" spans="1:55" x14ac:dyDescent="0.2">
      <c r="A220" s="18" t="s">
        <v>12</v>
      </c>
      <c r="B220" s="18" t="s">
        <v>6</v>
      </c>
      <c r="C220" s="3">
        <v>6</v>
      </c>
      <c r="D220" s="3">
        <v>7.5</v>
      </c>
      <c r="E220" s="3">
        <v>7</v>
      </c>
      <c r="F220" s="3">
        <v>9</v>
      </c>
      <c r="G220" s="3">
        <v>-12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1</v>
      </c>
      <c r="Q220">
        <v>0.75</v>
      </c>
      <c r="R220">
        <v>1</v>
      </c>
      <c r="S220">
        <v>1</v>
      </c>
      <c r="T220">
        <f t="shared" si="26"/>
        <v>6</v>
      </c>
      <c r="U220">
        <f t="shared" si="27"/>
        <v>7.5</v>
      </c>
      <c r="V220">
        <f t="shared" si="28"/>
        <v>7</v>
      </c>
      <c r="W220">
        <f t="shared" si="29"/>
        <v>9</v>
      </c>
      <c r="X220">
        <f t="shared" ref="X220:X248" si="30">40+G220</f>
        <v>28</v>
      </c>
      <c r="Y220" t="str">
        <f>+VLOOKUP(A220,'[1]Tárgy kurzusai'!$A:$C,3,0)</f>
        <v>K:17:20-18:50(E.3.395)</v>
      </c>
      <c r="Z220">
        <f>+VLOOKUP(A220,'[1]Tárgy kurzusai'!$A:$F,6,0)</f>
        <v>4</v>
      </c>
      <c r="AA220" t="s">
        <v>66</v>
      </c>
      <c r="AB220" t="s">
        <v>50</v>
      </c>
      <c r="AC220" t="s">
        <v>51</v>
      </c>
      <c r="AD220" t="s">
        <v>93</v>
      </c>
      <c r="AE220" t="s">
        <v>69</v>
      </c>
      <c r="AF220" t="s">
        <v>69</v>
      </c>
      <c r="AG220" t="s">
        <v>55</v>
      </c>
      <c r="AH220" t="s">
        <v>56</v>
      </c>
      <c r="AI220" t="s">
        <v>55</v>
      </c>
      <c r="AJ220" t="s">
        <v>57</v>
      </c>
      <c r="AK220" t="s">
        <v>58</v>
      </c>
      <c r="AL220" t="s">
        <v>59</v>
      </c>
      <c r="AM220" t="s">
        <v>60</v>
      </c>
      <c r="AN220">
        <v>7</v>
      </c>
      <c r="AO220">
        <v>34</v>
      </c>
      <c r="AP220">
        <v>5</v>
      </c>
      <c r="AQ220">
        <v>12</v>
      </c>
      <c r="AR220" t="s">
        <v>55</v>
      </c>
      <c r="AS220" t="s">
        <v>61</v>
      </c>
      <c r="AT220" t="s">
        <v>56</v>
      </c>
      <c r="AU220" t="s">
        <v>62</v>
      </c>
      <c r="AV220" t="s">
        <v>63</v>
      </c>
      <c r="AW220" t="s">
        <v>60</v>
      </c>
      <c r="AX220" t="s">
        <v>60</v>
      </c>
      <c r="AY220">
        <v>4</v>
      </c>
      <c r="AZ220" t="s">
        <v>64</v>
      </c>
      <c r="BA220">
        <v>7</v>
      </c>
      <c r="BB220">
        <v>8</v>
      </c>
      <c r="BC220" t="s">
        <v>70</v>
      </c>
    </row>
    <row r="221" spans="1:55" x14ac:dyDescent="0.2">
      <c r="A221" s="18" t="s">
        <v>12</v>
      </c>
      <c r="B221" s="18" t="s">
        <v>6</v>
      </c>
      <c r="C221" s="3">
        <v>4</v>
      </c>
      <c r="D221" s="3">
        <v>9</v>
      </c>
      <c r="E221" s="3">
        <v>8.5</v>
      </c>
      <c r="F221" s="3" t="s">
        <v>13</v>
      </c>
      <c r="G221" s="3" t="e">
        <v>#N/A</v>
      </c>
      <c r="H221">
        <v>0</v>
      </c>
      <c r="I221">
        <v>0.5</v>
      </c>
      <c r="J221">
        <v>1</v>
      </c>
      <c r="K221">
        <v>1</v>
      </c>
      <c r="L221">
        <v>0</v>
      </c>
      <c r="M221">
        <v>0</v>
      </c>
      <c r="N221">
        <v>1</v>
      </c>
      <c r="O221">
        <v>1</v>
      </c>
      <c r="P221">
        <v>1</v>
      </c>
      <c r="Q221">
        <v>0.25</v>
      </c>
      <c r="R221">
        <v>0</v>
      </c>
      <c r="S221">
        <v>0</v>
      </c>
      <c r="T221">
        <f t="shared" si="26"/>
        <v>4</v>
      </c>
      <c r="U221">
        <f t="shared" si="27"/>
        <v>9</v>
      </c>
      <c r="V221">
        <f t="shared" si="28"/>
        <v>8.5</v>
      </c>
      <c r="W221" t="str">
        <f t="shared" si="29"/>
        <v>-</v>
      </c>
      <c r="X221" t="e">
        <f t="shared" si="30"/>
        <v>#N/A</v>
      </c>
      <c r="Y221" t="str">
        <f>+VLOOKUP(A221,'[1]Tárgy kurzusai'!$A:$C,3,0)</f>
        <v>K:17:20-18:50(E.3.395)</v>
      </c>
      <c r="Z221">
        <f>+VLOOKUP(A221,'[1]Tárgy kurzusai'!$A:$F,6,0)</f>
        <v>4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</row>
    <row r="222" spans="1:55" x14ac:dyDescent="0.2">
      <c r="A222" s="18" t="s">
        <v>12</v>
      </c>
      <c r="B222" s="18" t="s">
        <v>6</v>
      </c>
      <c r="C222" s="3">
        <v>7</v>
      </c>
      <c r="D222" s="3">
        <v>5.5</v>
      </c>
      <c r="E222" s="3">
        <v>5</v>
      </c>
      <c r="F222" s="3">
        <v>6.5</v>
      </c>
      <c r="G222" s="3">
        <v>-16.5</v>
      </c>
      <c r="H222">
        <v>1</v>
      </c>
      <c r="I222">
        <v>1</v>
      </c>
      <c r="J222">
        <v>0.75</v>
      </c>
      <c r="K222">
        <v>1</v>
      </c>
      <c r="L222">
        <v>0.5</v>
      </c>
      <c r="M222">
        <v>1</v>
      </c>
      <c r="N222">
        <v>1</v>
      </c>
      <c r="O222">
        <v>0.33</v>
      </c>
      <c r="P222">
        <v>1</v>
      </c>
      <c r="Q222">
        <v>0.75</v>
      </c>
      <c r="R222">
        <v>1</v>
      </c>
      <c r="S222">
        <v>1</v>
      </c>
      <c r="T222">
        <f t="shared" si="26"/>
        <v>7</v>
      </c>
      <c r="U222">
        <f t="shared" si="27"/>
        <v>5.5</v>
      </c>
      <c r="V222">
        <f t="shared" si="28"/>
        <v>5</v>
      </c>
      <c r="W222">
        <f t="shared" si="29"/>
        <v>6.5</v>
      </c>
      <c r="X222">
        <f t="shared" si="30"/>
        <v>23.5</v>
      </c>
      <c r="Y222" t="str">
        <f>+VLOOKUP(A222,'[1]Tárgy kurzusai'!$A:$C,3,0)</f>
        <v>K:17:20-18:50(E.3.395)</v>
      </c>
      <c r="Z222">
        <f>+VLOOKUP(A222,'[1]Tárgy kurzusai'!$A:$F,6,0)</f>
        <v>4</v>
      </c>
      <c r="AA222" t="s">
        <v>49</v>
      </c>
      <c r="AB222" t="s">
        <v>71</v>
      </c>
      <c r="AC222" t="s">
        <v>51</v>
      </c>
      <c r="AD222" t="s">
        <v>109</v>
      </c>
      <c r="AE222" t="s">
        <v>53</v>
      </c>
      <c r="AF222" t="s">
        <v>53</v>
      </c>
      <c r="AG222" t="s">
        <v>56</v>
      </c>
      <c r="AH222" t="s">
        <v>55</v>
      </c>
      <c r="AI222" t="s">
        <v>55</v>
      </c>
      <c r="AJ222" t="s">
        <v>57</v>
      </c>
      <c r="AK222" t="s">
        <v>79</v>
      </c>
      <c r="AL222" t="s">
        <v>59</v>
      </c>
      <c r="AM222" t="s">
        <v>60</v>
      </c>
      <c r="AN222">
        <v>8</v>
      </c>
      <c r="AO222">
        <v>36</v>
      </c>
      <c r="AP222">
        <v>5</v>
      </c>
      <c r="AQ222">
        <v>16</v>
      </c>
      <c r="AR222" t="s">
        <v>55</v>
      </c>
      <c r="AS222" t="s">
        <v>61</v>
      </c>
      <c r="AT222" t="s">
        <v>55</v>
      </c>
      <c r="AU222" t="s">
        <v>62</v>
      </c>
      <c r="AV222" t="s">
        <v>63</v>
      </c>
      <c r="AW222" t="s">
        <v>60</v>
      </c>
      <c r="AX222" t="s">
        <v>60</v>
      </c>
      <c r="AY222">
        <v>3</v>
      </c>
      <c r="AZ222" t="s">
        <v>78</v>
      </c>
      <c r="BA222">
        <v>7</v>
      </c>
      <c r="BB222">
        <v>8</v>
      </c>
      <c r="BC222" t="s">
        <v>65</v>
      </c>
    </row>
    <row r="223" spans="1:55" x14ac:dyDescent="0.2">
      <c r="A223" s="18" t="s">
        <v>12</v>
      </c>
      <c r="B223" s="18" t="s">
        <v>6</v>
      </c>
      <c r="C223" s="3">
        <v>11.5</v>
      </c>
      <c r="D223" s="3">
        <v>8</v>
      </c>
      <c r="E223" s="3">
        <v>5</v>
      </c>
      <c r="F223" s="3">
        <v>6.5</v>
      </c>
      <c r="G223" s="3">
        <v>-6.5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f t="shared" si="26"/>
        <v>11.5</v>
      </c>
      <c r="U223">
        <f t="shared" si="27"/>
        <v>8</v>
      </c>
      <c r="V223">
        <f t="shared" si="28"/>
        <v>5</v>
      </c>
      <c r="W223">
        <f t="shared" si="29"/>
        <v>6.5</v>
      </c>
      <c r="X223">
        <f t="shared" si="30"/>
        <v>33.5</v>
      </c>
      <c r="Y223" t="str">
        <f>+VLOOKUP(A223,'[1]Tárgy kurzusai'!$A:$C,3,0)</f>
        <v>K:17:20-18:50(E.3.395)</v>
      </c>
      <c r="Z223">
        <f>+VLOOKUP(A223,'[1]Tárgy kurzusai'!$A:$F,6,0)</f>
        <v>4</v>
      </c>
      <c r="AA223" t="s">
        <v>66</v>
      </c>
      <c r="AB223" t="s">
        <v>71</v>
      </c>
      <c r="AC223" t="s">
        <v>51</v>
      </c>
      <c r="AD223" t="s">
        <v>81</v>
      </c>
      <c r="AE223" t="s">
        <v>69</v>
      </c>
      <c r="AF223" t="s">
        <v>69</v>
      </c>
      <c r="AG223" t="s">
        <v>55</v>
      </c>
      <c r="AH223" t="s">
        <v>55</v>
      </c>
      <c r="AI223" t="s">
        <v>55</v>
      </c>
      <c r="AJ223" t="s">
        <v>57</v>
      </c>
      <c r="AK223" t="s">
        <v>58</v>
      </c>
      <c r="AL223" t="s">
        <v>59</v>
      </c>
      <c r="AM223" t="s">
        <v>60</v>
      </c>
      <c r="AN223">
        <v>8</v>
      </c>
      <c r="AO223">
        <v>37</v>
      </c>
      <c r="AP223">
        <v>5</v>
      </c>
      <c r="AQ223">
        <v>14</v>
      </c>
      <c r="AR223" t="s">
        <v>55</v>
      </c>
      <c r="AS223" t="s">
        <v>61</v>
      </c>
      <c r="AT223" t="s">
        <v>55</v>
      </c>
      <c r="AU223" t="s">
        <v>62</v>
      </c>
      <c r="AV223" t="s">
        <v>63</v>
      </c>
      <c r="AW223" t="s">
        <v>60</v>
      </c>
      <c r="AX223" t="s">
        <v>60</v>
      </c>
      <c r="AY223">
        <v>4</v>
      </c>
      <c r="AZ223" t="s">
        <v>64</v>
      </c>
      <c r="BA223">
        <v>8</v>
      </c>
      <c r="BB223">
        <v>9</v>
      </c>
      <c r="BC223" t="s">
        <v>65</v>
      </c>
    </row>
    <row r="224" spans="1:55" x14ac:dyDescent="0.2">
      <c r="A224" s="18" t="s">
        <v>12</v>
      </c>
      <c r="B224" s="18" t="s">
        <v>6</v>
      </c>
      <c r="C224" s="3">
        <v>6</v>
      </c>
      <c r="D224" s="3">
        <v>13</v>
      </c>
      <c r="E224" s="3">
        <v>12</v>
      </c>
      <c r="F224" s="3">
        <v>11.5</v>
      </c>
      <c r="G224" s="3">
        <v>-10.5</v>
      </c>
      <c r="H224">
        <v>1</v>
      </c>
      <c r="I224">
        <v>1</v>
      </c>
      <c r="J224">
        <v>1</v>
      </c>
      <c r="K224">
        <v>1</v>
      </c>
      <c r="L224">
        <v>0.5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f t="shared" si="26"/>
        <v>6</v>
      </c>
      <c r="U224">
        <f t="shared" si="27"/>
        <v>13</v>
      </c>
      <c r="V224">
        <f t="shared" si="28"/>
        <v>12</v>
      </c>
      <c r="W224">
        <f t="shared" si="29"/>
        <v>11.5</v>
      </c>
      <c r="X224">
        <f t="shared" si="30"/>
        <v>29.5</v>
      </c>
      <c r="Y224" t="str">
        <f>+VLOOKUP(A224,'[1]Tárgy kurzusai'!$A:$C,3,0)</f>
        <v>K:17:20-18:50(E.3.395)</v>
      </c>
      <c r="Z224">
        <f>+VLOOKUP(A224,'[1]Tárgy kurzusai'!$A:$F,6,0)</f>
        <v>4</v>
      </c>
      <c r="AA224" t="s">
        <v>49</v>
      </c>
      <c r="AB224" t="s">
        <v>50</v>
      </c>
      <c r="AC224" t="s">
        <v>74</v>
      </c>
      <c r="AD224" t="s">
        <v>60</v>
      </c>
      <c r="AE224" t="s">
        <v>53</v>
      </c>
      <c r="AF224" t="s">
        <v>69</v>
      </c>
      <c r="AG224" t="s">
        <v>55</v>
      </c>
      <c r="AH224" t="s">
        <v>55</v>
      </c>
      <c r="AI224" t="s">
        <v>56</v>
      </c>
      <c r="AJ224" t="s">
        <v>57</v>
      </c>
      <c r="AK224" t="s">
        <v>58</v>
      </c>
      <c r="AL224" t="s">
        <v>59</v>
      </c>
      <c r="AM224" t="s">
        <v>60</v>
      </c>
      <c r="AN224">
        <v>8</v>
      </c>
      <c r="AO224">
        <v>37</v>
      </c>
      <c r="AP224">
        <v>5</v>
      </c>
      <c r="AQ224">
        <v>15</v>
      </c>
      <c r="AR224" t="s">
        <v>55</v>
      </c>
      <c r="AS224" t="s">
        <v>55</v>
      </c>
      <c r="AT224" t="s">
        <v>55</v>
      </c>
      <c r="AU224" t="s">
        <v>62</v>
      </c>
      <c r="AV224" t="s">
        <v>63</v>
      </c>
      <c r="AW224" t="s">
        <v>60</v>
      </c>
      <c r="AX224" t="s">
        <v>60</v>
      </c>
      <c r="AY224">
        <v>4</v>
      </c>
      <c r="AZ224" t="s">
        <v>64</v>
      </c>
      <c r="BA224">
        <v>7</v>
      </c>
      <c r="BB224">
        <v>8</v>
      </c>
      <c r="BC224" t="s">
        <v>70</v>
      </c>
    </row>
    <row r="225" spans="1:55" x14ac:dyDescent="0.2">
      <c r="A225" s="18" t="s">
        <v>12</v>
      </c>
      <c r="B225" s="18" t="s">
        <v>6</v>
      </c>
      <c r="C225" s="3">
        <v>5.5</v>
      </c>
      <c r="D225" s="3">
        <v>4.5</v>
      </c>
      <c r="E225" s="3" t="s">
        <v>13</v>
      </c>
      <c r="F225" s="3" t="s">
        <v>13</v>
      </c>
      <c r="G225" s="3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0.5</v>
      </c>
      <c r="P225">
        <v>0</v>
      </c>
      <c r="Q225">
        <v>0.5</v>
      </c>
      <c r="R225">
        <v>1</v>
      </c>
      <c r="S225">
        <v>1</v>
      </c>
      <c r="T225">
        <f t="shared" si="26"/>
        <v>5.5</v>
      </c>
      <c r="U225">
        <f t="shared" si="27"/>
        <v>4.5</v>
      </c>
      <c r="V225" t="str">
        <f t="shared" si="28"/>
        <v>-</v>
      </c>
      <c r="W225" t="str">
        <f t="shared" si="29"/>
        <v>-</v>
      </c>
      <c r="X225">
        <f t="shared" si="30"/>
        <v>40</v>
      </c>
      <c r="Y225" t="str">
        <f>+VLOOKUP(A225,'[1]Tárgy kurzusai'!$A:$C,3,0)</f>
        <v>K:17:20-18:50(E.3.395)</v>
      </c>
      <c r="Z225">
        <f>+VLOOKUP(A225,'[1]Tárgy kurzusai'!$A:$F,6,0)</f>
        <v>4</v>
      </c>
      <c r="AA225" t="s">
        <v>66</v>
      </c>
      <c r="AB225" t="s">
        <v>71</v>
      </c>
      <c r="AC225" t="s">
        <v>74</v>
      </c>
      <c r="AD225" t="s">
        <v>60</v>
      </c>
      <c r="AE225" t="s">
        <v>69</v>
      </c>
      <c r="AF225" t="s">
        <v>69</v>
      </c>
      <c r="AG225" t="s">
        <v>55</v>
      </c>
      <c r="AH225" t="s">
        <v>55</v>
      </c>
      <c r="AI225" t="s">
        <v>55</v>
      </c>
      <c r="AJ225" t="s">
        <v>57</v>
      </c>
      <c r="AK225" t="s">
        <v>58</v>
      </c>
      <c r="AL225" t="s">
        <v>59</v>
      </c>
      <c r="AM225" t="s">
        <v>60</v>
      </c>
      <c r="AN225">
        <v>7</v>
      </c>
      <c r="AO225">
        <v>36</v>
      </c>
      <c r="AP225">
        <v>5</v>
      </c>
      <c r="AQ225">
        <v>3</v>
      </c>
      <c r="AR225" t="s">
        <v>55</v>
      </c>
      <c r="AS225" t="s">
        <v>61</v>
      </c>
      <c r="AT225" t="s">
        <v>56</v>
      </c>
      <c r="AU225" t="s">
        <v>62</v>
      </c>
      <c r="AV225" t="s">
        <v>63</v>
      </c>
      <c r="AW225" t="s">
        <v>60</v>
      </c>
      <c r="AX225" t="s">
        <v>60</v>
      </c>
      <c r="AY225">
        <v>4</v>
      </c>
      <c r="AZ225" t="s">
        <v>64</v>
      </c>
      <c r="BA225">
        <v>10</v>
      </c>
      <c r="BB225">
        <v>7</v>
      </c>
      <c r="BC225" t="s">
        <v>76</v>
      </c>
    </row>
    <row r="226" spans="1:55" x14ac:dyDescent="0.2">
      <c r="A226" s="18" t="s">
        <v>12</v>
      </c>
      <c r="B226" s="18" t="s">
        <v>6</v>
      </c>
      <c r="C226" s="3">
        <v>10</v>
      </c>
      <c r="D226" s="3">
        <v>3</v>
      </c>
      <c r="E226" s="3">
        <v>8</v>
      </c>
      <c r="F226" s="3">
        <v>5.5</v>
      </c>
      <c r="G226" s="3">
        <v>-18.5</v>
      </c>
      <c r="H226">
        <v>1</v>
      </c>
      <c r="I226">
        <v>0.75</v>
      </c>
      <c r="J226">
        <v>1</v>
      </c>
      <c r="K226">
        <v>1</v>
      </c>
      <c r="L226">
        <v>1</v>
      </c>
      <c r="M226">
        <v>0.75</v>
      </c>
      <c r="N226">
        <v>0.25</v>
      </c>
      <c r="O226">
        <v>1</v>
      </c>
      <c r="P226">
        <v>1</v>
      </c>
      <c r="Q226">
        <v>0.5</v>
      </c>
      <c r="R226">
        <v>1</v>
      </c>
      <c r="S226">
        <v>1</v>
      </c>
      <c r="T226">
        <f t="shared" si="26"/>
        <v>10</v>
      </c>
      <c r="U226">
        <f t="shared" si="27"/>
        <v>3</v>
      </c>
      <c r="V226">
        <f t="shared" si="28"/>
        <v>8</v>
      </c>
      <c r="W226">
        <f t="shared" si="29"/>
        <v>5.5</v>
      </c>
      <c r="X226">
        <f t="shared" si="30"/>
        <v>21.5</v>
      </c>
      <c r="Y226" t="str">
        <f>+VLOOKUP(A226,'[1]Tárgy kurzusai'!$A:$C,3,0)</f>
        <v>K:17:20-18:50(E.3.395)</v>
      </c>
      <c r="Z226">
        <f>+VLOOKUP(A226,'[1]Tárgy kurzusai'!$A:$F,6,0)</f>
        <v>4</v>
      </c>
      <c r="AA226" t="s">
        <v>49</v>
      </c>
      <c r="AB226" t="s">
        <v>80</v>
      </c>
      <c r="AC226" t="s">
        <v>72</v>
      </c>
      <c r="AD226" t="s">
        <v>81</v>
      </c>
      <c r="AE226" t="s">
        <v>69</v>
      </c>
      <c r="AF226" t="s">
        <v>69</v>
      </c>
      <c r="AG226" t="s">
        <v>55</v>
      </c>
      <c r="AH226" t="s">
        <v>55</v>
      </c>
      <c r="AI226" t="s">
        <v>55</v>
      </c>
      <c r="AJ226" t="s">
        <v>57</v>
      </c>
      <c r="AK226" t="s">
        <v>79</v>
      </c>
      <c r="AL226" t="s">
        <v>59</v>
      </c>
      <c r="AM226" t="s">
        <v>60</v>
      </c>
      <c r="AN226">
        <v>6</v>
      </c>
      <c r="AO226">
        <v>33</v>
      </c>
      <c r="AP226">
        <v>5</v>
      </c>
      <c r="AQ226">
        <v>12</v>
      </c>
      <c r="AR226" t="s">
        <v>55</v>
      </c>
      <c r="AS226" t="s">
        <v>55</v>
      </c>
      <c r="AT226" t="s">
        <v>55</v>
      </c>
      <c r="AU226" t="s">
        <v>62</v>
      </c>
      <c r="AV226" t="s">
        <v>63</v>
      </c>
      <c r="AW226" t="s">
        <v>60</v>
      </c>
      <c r="AX226" t="s">
        <v>60</v>
      </c>
      <c r="AY226">
        <v>3</v>
      </c>
      <c r="AZ226" t="s">
        <v>78</v>
      </c>
      <c r="BA226">
        <v>8</v>
      </c>
      <c r="BB226">
        <v>9</v>
      </c>
      <c r="BC226" t="s">
        <v>70</v>
      </c>
    </row>
    <row r="227" spans="1:55" x14ac:dyDescent="0.2">
      <c r="A227" s="18" t="s">
        <v>12</v>
      </c>
      <c r="B227" s="18" t="s">
        <v>6</v>
      </c>
      <c r="C227" s="3">
        <v>2.5</v>
      </c>
      <c r="D227" s="3">
        <v>8.5</v>
      </c>
      <c r="E227" s="3">
        <v>7</v>
      </c>
      <c r="F227" s="3">
        <v>5</v>
      </c>
      <c r="G227" s="3">
        <v>-20</v>
      </c>
      <c r="H227">
        <v>0.5</v>
      </c>
      <c r="I227">
        <v>0.75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0.5</v>
      </c>
      <c r="R227">
        <v>1</v>
      </c>
      <c r="S227">
        <v>1</v>
      </c>
      <c r="T227">
        <f t="shared" si="26"/>
        <v>2.5</v>
      </c>
      <c r="U227">
        <f t="shared" si="27"/>
        <v>8.5</v>
      </c>
      <c r="V227">
        <f t="shared" si="28"/>
        <v>7</v>
      </c>
      <c r="W227">
        <f t="shared" si="29"/>
        <v>5</v>
      </c>
      <c r="X227">
        <f t="shared" si="30"/>
        <v>20</v>
      </c>
      <c r="Y227" t="str">
        <f>+VLOOKUP(A227,'[1]Tárgy kurzusai'!$A:$C,3,0)</f>
        <v>K:17:20-18:50(E.3.395)</v>
      </c>
      <c r="Z227">
        <f>+VLOOKUP(A227,'[1]Tárgy kurzusai'!$A:$F,6,0)</f>
        <v>4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</row>
    <row r="228" spans="1:55" x14ac:dyDescent="0.2">
      <c r="A228" s="18" t="s">
        <v>12</v>
      </c>
      <c r="B228" s="18" t="s">
        <v>6</v>
      </c>
      <c r="C228" s="3">
        <v>7</v>
      </c>
      <c r="D228" s="3">
        <v>13</v>
      </c>
      <c r="E228" s="3">
        <v>10</v>
      </c>
      <c r="F228" s="3">
        <v>15</v>
      </c>
      <c r="G228" s="3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0.75</v>
      </c>
      <c r="R228">
        <v>1</v>
      </c>
      <c r="S228">
        <v>1</v>
      </c>
      <c r="T228">
        <f t="shared" si="26"/>
        <v>7</v>
      </c>
      <c r="U228">
        <f t="shared" si="27"/>
        <v>13</v>
      </c>
      <c r="V228">
        <f t="shared" si="28"/>
        <v>10</v>
      </c>
      <c r="W228">
        <f t="shared" si="29"/>
        <v>15</v>
      </c>
      <c r="X228">
        <f t="shared" si="30"/>
        <v>40</v>
      </c>
      <c r="Y228" t="str">
        <f>+VLOOKUP(A228,'[1]Tárgy kurzusai'!$A:$C,3,0)</f>
        <v>K:17:20-18:50(E.3.395)</v>
      </c>
      <c r="Z228">
        <f>+VLOOKUP(A228,'[1]Tárgy kurzusai'!$A:$F,6,0)</f>
        <v>4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</row>
    <row r="229" spans="1:55" x14ac:dyDescent="0.2">
      <c r="A229" s="18" t="s">
        <v>12</v>
      </c>
      <c r="B229" s="18" t="s">
        <v>6</v>
      </c>
      <c r="C229" s="3">
        <v>8.5</v>
      </c>
      <c r="D229" s="3">
        <v>11</v>
      </c>
      <c r="E229" s="3">
        <v>15</v>
      </c>
      <c r="F229" s="3">
        <v>15</v>
      </c>
      <c r="G229" s="3">
        <v>-9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0.75</v>
      </c>
      <c r="R229">
        <v>1</v>
      </c>
      <c r="S229">
        <v>1</v>
      </c>
      <c r="T229">
        <f t="shared" si="26"/>
        <v>8.5</v>
      </c>
      <c r="U229">
        <f t="shared" si="27"/>
        <v>11</v>
      </c>
      <c r="V229">
        <f t="shared" si="28"/>
        <v>15</v>
      </c>
      <c r="W229">
        <f t="shared" si="29"/>
        <v>15</v>
      </c>
      <c r="X229">
        <f t="shared" si="30"/>
        <v>31</v>
      </c>
      <c r="Y229" t="str">
        <f>+VLOOKUP(A229,'[1]Tárgy kurzusai'!$A:$C,3,0)</f>
        <v>K:17:20-18:50(E.3.395)</v>
      </c>
      <c r="Z229">
        <f>+VLOOKUP(A229,'[1]Tárgy kurzusai'!$A:$F,6,0)</f>
        <v>4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</row>
    <row r="230" spans="1:55" x14ac:dyDescent="0.2">
      <c r="A230" s="18" t="s">
        <v>12</v>
      </c>
      <c r="B230" s="18" t="s">
        <v>6</v>
      </c>
      <c r="C230" s="3">
        <v>7</v>
      </c>
      <c r="D230" s="3">
        <v>4</v>
      </c>
      <c r="E230" s="3">
        <v>5</v>
      </c>
      <c r="F230" s="3">
        <v>4.5</v>
      </c>
      <c r="G230" s="3" t="e">
        <v>#N/A</v>
      </c>
      <c r="H230">
        <v>0.75</v>
      </c>
      <c r="I230">
        <v>1</v>
      </c>
      <c r="J230">
        <v>0.75</v>
      </c>
      <c r="K230">
        <v>1</v>
      </c>
      <c r="L230">
        <v>0.5</v>
      </c>
      <c r="M230">
        <v>0</v>
      </c>
      <c r="N230">
        <v>0.5</v>
      </c>
      <c r="O230">
        <v>0</v>
      </c>
      <c r="P230">
        <v>1</v>
      </c>
      <c r="Q230">
        <v>0.5</v>
      </c>
      <c r="R230">
        <v>0</v>
      </c>
      <c r="S230">
        <v>1</v>
      </c>
      <c r="T230">
        <f t="shared" si="26"/>
        <v>7</v>
      </c>
      <c r="U230">
        <f t="shared" si="27"/>
        <v>4</v>
      </c>
      <c r="V230">
        <f t="shared" si="28"/>
        <v>5</v>
      </c>
      <c r="W230">
        <f t="shared" si="29"/>
        <v>4.5</v>
      </c>
      <c r="X230" t="e">
        <f t="shared" si="30"/>
        <v>#N/A</v>
      </c>
      <c r="Y230" t="str">
        <f>+VLOOKUP(A230,'[1]Tárgy kurzusai'!$A:$C,3,0)</f>
        <v>K:17:20-18:50(E.3.395)</v>
      </c>
      <c r="Z230">
        <f>+VLOOKUP(A230,'[1]Tárgy kurzusai'!$A:$F,6,0)</f>
        <v>4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</row>
    <row r="231" spans="1:55" x14ac:dyDescent="0.2">
      <c r="A231" s="18" t="s">
        <v>12</v>
      </c>
      <c r="B231" s="18" t="s">
        <v>6</v>
      </c>
      <c r="C231" s="3">
        <v>1</v>
      </c>
      <c r="D231" s="3">
        <v>5</v>
      </c>
      <c r="E231" s="3" t="s">
        <v>13</v>
      </c>
      <c r="F231" s="3" t="s">
        <v>13</v>
      </c>
      <c r="G231" s="3">
        <v>0</v>
      </c>
      <c r="H231">
        <v>0.75</v>
      </c>
      <c r="I231">
        <v>0.75</v>
      </c>
      <c r="J231">
        <v>0.75</v>
      </c>
      <c r="K231">
        <v>0.75</v>
      </c>
      <c r="L231">
        <v>1</v>
      </c>
      <c r="M231">
        <v>0</v>
      </c>
      <c r="N231">
        <v>0.25</v>
      </c>
      <c r="O231">
        <v>1</v>
      </c>
      <c r="P231">
        <v>1</v>
      </c>
      <c r="Q231">
        <v>0.75</v>
      </c>
      <c r="R231">
        <v>1</v>
      </c>
      <c r="S231">
        <v>1</v>
      </c>
      <c r="T231">
        <f t="shared" si="26"/>
        <v>1</v>
      </c>
      <c r="U231">
        <f t="shared" si="27"/>
        <v>5</v>
      </c>
      <c r="V231" t="str">
        <f t="shared" si="28"/>
        <v>-</v>
      </c>
      <c r="W231" t="str">
        <f t="shared" si="29"/>
        <v>-</v>
      </c>
      <c r="X231">
        <f t="shared" si="30"/>
        <v>40</v>
      </c>
      <c r="Y231" t="str">
        <f>+VLOOKUP(A231,'[1]Tárgy kurzusai'!$A:$C,3,0)</f>
        <v>K:17:20-18:50(E.3.395)</v>
      </c>
      <c r="Z231">
        <f>+VLOOKUP(A231,'[1]Tárgy kurzusai'!$A:$F,6,0)</f>
        <v>4</v>
      </c>
      <c r="AA231" t="s">
        <v>49</v>
      </c>
      <c r="AB231" t="s">
        <v>50</v>
      </c>
      <c r="AC231" t="s">
        <v>51</v>
      </c>
      <c r="AD231" t="s">
        <v>68</v>
      </c>
      <c r="AE231" t="s">
        <v>69</v>
      </c>
      <c r="AF231" t="s">
        <v>53</v>
      </c>
      <c r="AG231" t="s">
        <v>55</v>
      </c>
      <c r="AH231" t="s">
        <v>55</v>
      </c>
      <c r="AI231" t="s">
        <v>55</v>
      </c>
      <c r="AJ231" t="s">
        <v>57</v>
      </c>
      <c r="AK231" t="s">
        <v>79</v>
      </c>
      <c r="AL231" t="s">
        <v>59</v>
      </c>
      <c r="AM231" t="s">
        <v>60</v>
      </c>
      <c r="AN231">
        <v>9</v>
      </c>
      <c r="AO231">
        <v>37</v>
      </c>
      <c r="AP231">
        <v>4</v>
      </c>
      <c r="AQ231">
        <v>13</v>
      </c>
      <c r="AR231" t="s">
        <v>55</v>
      </c>
      <c r="AS231" t="s">
        <v>61</v>
      </c>
      <c r="AT231" t="s">
        <v>55</v>
      </c>
      <c r="AU231" t="s">
        <v>62</v>
      </c>
      <c r="AV231" t="s">
        <v>63</v>
      </c>
      <c r="AW231" t="s">
        <v>60</v>
      </c>
      <c r="AX231" t="s">
        <v>60</v>
      </c>
      <c r="AY231">
        <v>4</v>
      </c>
      <c r="AZ231" t="s">
        <v>78</v>
      </c>
      <c r="BA231">
        <v>6</v>
      </c>
      <c r="BB231">
        <v>6</v>
      </c>
      <c r="BC231" t="s">
        <v>70</v>
      </c>
    </row>
    <row r="232" spans="1:55" x14ac:dyDescent="0.2">
      <c r="A232" s="18" t="s">
        <v>12</v>
      </c>
      <c r="B232" s="18" t="s">
        <v>6</v>
      </c>
      <c r="C232" s="3">
        <v>12.5</v>
      </c>
      <c r="D232" s="3">
        <v>5</v>
      </c>
      <c r="E232" s="3">
        <v>11.5</v>
      </c>
      <c r="F232" s="3">
        <v>6</v>
      </c>
      <c r="G232" s="3">
        <v>-20</v>
      </c>
      <c r="H232">
        <v>1</v>
      </c>
      <c r="I232">
        <v>1</v>
      </c>
      <c r="J232">
        <v>1</v>
      </c>
      <c r="K232">
        <v>1</v>
      </c>
      <c r="L232">
        <v>0.5</v>
      </c>
      <c r="M232">
        <v>0</v>
      </c>
      <c r="N232">
        <v>1</v>
      </c>
      <c r="O232">
        <v>0.5</v>
      </c>
      <c r="P232">
        <v>1</v>
      </c>
      <c r="Q232">
        <v>0.25</v>
      </c>
      <c r="R232">
        <v>1</v>
      </c>
      <c r="S232">
        <v>1</v>
      </c>
      <c r="T232">
        <f t="shared" si="26"/>
        <v>12.5</v>
      </c>
      <c r="U232">
        <f t="shared" si="27"/>
        <v>5</v>
      </c>
      <c r="V232">
        <f t="shared" si="28"/>
        <v>11.5</v>
      </c>
      <c r="W232">
        <f t="shared" si="29"/>
        <v>6</v>
      </c>
      <c r="X232">
        <f t="shared" si="30"/>
        <v>20</v>
      </c>
      <c r="Y232" t="str">
        <f>+VLOOKUP(A232,'[1]Tárgy kurzusai'!$A:$C,3,0)</f>
        <v>K:17:20-18:50(E.3.395)</v>
      </c>
      <c r="Z232">
        <f>+VLOOKUP(A232,'[1]Tárgy kurzusai'!$A:$F,6,0)</f>
        <v>4</v>
      </c>
      <c r="AA232" t="s">
        <v>49</v>
      </c>
      <c r="AB232" t="s">
        <v>71</v>
      </c>
      <c r="AC232" t="s">
        <v>74</v>
      </c>
      <c r="AD232" t="s">
        <v>60</v>
      </c>
      <c r="AE232" t="s">
        <v>69</v>
      </c>
      <c r="AF232" t="s">
        <v>69</v>
      </c>
      <c r="AG232" t="s">
        <v>55</v>
      </c>
      <c r="AH232" t="s">
        <v>55</v>
      </c>
      <c r="AI232" t="s">
        <v>55</v>
      </c>
      <c r="AJ232" t="s">
        <v>60</v>
      </c>
      <c r="AK232" t="s">
        <v>79</v>
      </c>
      <c r="AL232" t="s">
        <v>59</v>
      </c>
      <c r="AM232" t="s">
        <v>60</v>
      </c>
      <c r="AN232">
        <v>7</v>
      </c>
      <c r="AO232">
        <v>36</v>
      </c>
      <c r="AP232">
        <v>5</v>
      </c>
      <c r="AQ232">
        <v>4</v>
      </c>
      <c r="AR232" t="s">
        <v>55</v>
      </c>
      <c r="AS232" t="s">
        <v>61</v>
      </c>
      <c r="AT232" t="s">
        <v>56</v>
      </c>
      <c r="AU232" t="s">
        <v>62</v>
      </c>
      <c r="AV232" t="s">
        <v>63</v>
      </c>
      <c r="AW232" t="s">
        <v>60</v>
      </c>
      <c r="AX232" t="s">
        <v>60</v>
      </c>
      <c r="AY232">
        <v>4</v>
      </c>
      <c r="AZ232" t="s">
        <v>78</v>
      </c>
      <c r="BA232">
        <v>10</v>
      </c>
      <c r="BB232">
        <v>6</v>
      </c>
      <c r="BC232" t="s">
        <v>70</v>
      </c>
    </row>
    <row r="233" spans="1:55" x14ac:dyDescent="0.2">
      <c r="A233" s="18" t="s">
        <v>12</v>
      </c>
      <c r="B233" s="18" t="s">
        <v>6</v>
      </c>
      <c r="C233" s="3">
        <v>12.5</v>
      </c>
      <c r="D233" s="3">
        <v>6.5</v>
      </c>
      <c r="E233" s="3">
        <v>10</v>
      </c>
      <c r="F233" s="3">
        <v>11</v>
      </c>
      <c r="G233" s="3">
        <v>-12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1</v>
      </c>
      <c r="Q233">
        <v>0.75</v>
      </c>
      <c r="R233">
        <v>1</v>
      </c>
      <c r="S233">
        <v>1</v>
      </c>
      <c r="T233">
        <f t="shared" si="26"/>
        <v>12.5</v>
      </c>
      <c r="U233">
        <f t="shared" si="27"/>
        <v>6.5</v>
      </c>
      <c r="V233">
        <f t="shared" si="28"/>
        <v>10</v>
      </c>
      <c r="W233">
        <f t="shared" si="29"/>
        <v>11</v>
      </c>
      <c r="X233">
        <f t="shared" si="30"/>
        <v>28</v>
      </c>
      <c r="Y233" t="str">
        <f>+VLOOKUP(A233,'[1]Tárgy kurzusai'!$A:$C,3,0)</f>
        <v>K:17:20-18:50(E.3.395)</v>
      </c>
      <c r="Z233">
        <f>+VLOOKUP(A233,'[1]Tárgy kurzusai'!$A:$F,6,0)</f>
        <v>4</v>
      </c>
      <c r="AA233" t="s">
        <v>49</v>
      </c>
      <c r="AB233" t="s">
        <v>71</v>
      </c>
      <c r="AC233" t="s">
        <v>74</v>
      </c>
      <c r="AD233" t="s">
        <v>60</v>
      </c>
      <c r="AE233" t="s">
        <v>69</v>
      </c>
      <c r="AF233" t="s">
        <v>69</v>
      </c>
      <c r="AG233" t="s">
        <v>55</v>
      </c>
      <c r="AH233" t="s">
        <v>55</v>
      </c>
      <c r="AI233" t="s">
        <v>56</v>
      </c>
      <c r="AJ233" t="s">
        <v>57</v>
      </c>
      <c r="AK233" t="s">
        <v>58</v>
      </c>
      <c r="AL233" t="s">
        <v>59</v>
      </c>
      <c r="AM233" t="s">
        <v>60</v>
      </c>
      <c r="AN233">
        <v>7</v>
      </c>
      <c r="AO233">
        <v>36</v>
      </c>
      <c r="AP233">
        <v>5</v>
      </c>
      <c r="AQ233">
        <v>4</v>
      </c>
      <c r="AR233" t="s">
        <v>55</v>
      </c>
      <c r="AS233" t="s">
        <v>55</v>
      </c>
      <c r="AT233" t="s">
        <v>55</v>
      </c>
      <c r="AU233" t="s">
        <v>62</v>
      </c>
      <c r="AV233" t="s">
        <v>63</v>
      </c>
      <c r="AW233" t="s">
        <v>60</v>
      </c>
      <c r="AX233" t="s">
        <v>60</v>
      </c>
      <c r="AY233">
        <v>3</v>
      </c>
      <c r="AZ233" t="s">
        <v>99</v>
      </c>
      <c r="BA233">
        <v>5</v>
      </c>
      <c r="BB233">
        <v>8</v>
      </c>
      <c r="BC233" t="s">
        <v>82</v>
      </c>
    </row>
    <row r="234" spans="1:55" x14ac:dyDescent="0.2">
      <c r="A234" s="18" t="s">
        <v>12</v>
      </c>
      <c r="B234" s="18" t="s">
        <v>6</v>
      </c>
      <c r="C234" s="3">
        <v>8</v>
      </c>
      <c r="D234" s="3">
        <v>10</v>
      </c>
      <c r="E234" s="3">
        <v>16</v>
      </c>
      <c r="F234" s="3">
        <v>16</v>
      </c>
      <c r="G234" s="3">
        <v>-3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0.75</v>
      </c>
      <c r="O234">
        <v>1</v>
      </c>
      <c r="P234">
        <v>1</v>
      </c>
      <c r="Q234">
        <v>0.5</v>
      </c>
      <c r="R234">
        <v>0.75</v>
      </c>
      <c r="S234">
        <v>1</v>
      </c>
      <c r="T234">
        <f t="shared" si="26"/>
        <v>8</v>
      </c>
      <c r="U234">
        <f t="shared" si="27"/>
        <v>10</v>
      </c>
      <c r="V234">
        <f t="shared" si="28"/>
        <v>16</v>
      </c>
      <c r="W234">
        <f t="shared" si="29"/>
        <v>16</v>
      </c>
      <c r="X234">
        <f t="shared" si="30"/>
        <v>37</v>
      </c>
      <c r="Y234" t="str">
        <f>+VLOOKUP(A234,'[1]Tárgy kurzusai'!$A:$C,3,0)</f>
        <v>K:17:20-18:50(E.3.395)</v>
      </c>
      <c r="Z234">
        <f>+VLOOKUP(A234,'[1]Tárgy kurzusai'!$A:$F,6,0)</f>
        <v>4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</row>
    <row r="235" spans="1:55" x14ac:dyDescent="0.2">
      <c r="A235" s="18" t="s">
        <v>12</v>
      </c>
      <c r="B235" s="18" t="s">
        <v>6</v>
      </c>
      <c r="C235" s="3">
        <v>7.5</v>
      </c>
      <c r="D235" s="3">
        <v>7</v>
      </c>
      <c r="E235" s="3">
        <v>7.5</v>
      </c>
      <c r="F235" s="3">
        <v>3</v>
      </c>
      <c r="G235" s="3">
        <v>-28.5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0.75</v>
      </c>
      <c r="R235">
        <v>1</v>
      </c>
      <c r="S235">
        <v>1</v>
      </c>
      <c r="T235">
        <f t="shared" si="26"/>
        <v>7.5</v>
      </c>
      <c r="U235">
        <f t="shared" si="27"/>
        <v>7</v>
      </c>
      <c r="V235">
        <f t="shared" si="28"/>
        <v>7.5</v>
      </c>
      <c r="W235">
        <f t="shared" si="29"/>
        <v>3</v>
      </c>
      <c r="X235">
        <f t="shared" si="30"/>
        <v>11.5</v>
      </c>
      <c r="Y235" t="str">
        <f>+VLOOKUP(A235,'[1]Tárgy kurzusai'!$A:$C,3,0)</f>
        <v>K:17:20-18:50(E.3.395)</v>
      </c>
      <c r="Z235">
        <f>+VLOOKUP(A235,'[1]Tárgy kurzusai'!$A:$F,6,0)</f>
        <v>4</v>
      </c>
      <c r="AA235" t="s">
        <v>49</v>
      </c>
      <c r="AB235" t="s">
        <v>80</v>
      </c>
      <c r="AC235" t="s">
        <v>74</v>
      </c>
      <c r="AD235" t="s">
        <v>60</v>
      </c>
      <c r="AE235" t="s">
        <v>69</v>
      </c>
      <c r="AF235" t="s">
        <v>69</v>
      </c>
      <c r="AG235" t="s">
        <v>55</v>
      </c>
      <c r="AH235" t="s">
        <v>55</v>
      </c>
      <c r="AI235" t="s">
        <v>55</v>
      </c>
      <c r="AJ235" t="s">
        <v>57</v>
      </c>
      <c r="AK235" t="s">
        <v>79</v>
      </c>
      <c r="AL235" t="s">
        <v>59</v>
      </c>
      <c r="AM235" t="s">
        <v>60</v>
      </c>
      <c r="AN235">
        <v>6</v>
      </c>
      <c r="AO235">
        <v>34</v>
      </c>
      <c r="AP235">
        <v>4</v>
      </c>
      <c r="AQ235">
        <v>11</v>
      </c>
      <c r="AR235" t="s">
        <v>55</v>
      </c>
      <c r="AS235" t="s">
        <v>55</v>
      </c>
      <c r="AT235" t="s">
        <v>55</v>
      </c>
      <c r="AU235" t="s">
        <v>62</v>
      </c>
      <c r="AV235" t="s">
        <v>63</v>
      </c>
      <c r="AW235" t="s">
        <v>60</v>
      </c>
      <c r="AX235" t="s">
        <v>60</v>
      </c>
      <c r="AY235">
        <v>3</v>
      </c>
      <c r="AZ235" t="s">
        <v>78</v>
      </c>
      <c r="BA235">
        <v>7</v>
      </c>
      <c r="BB235">
        <v>4</v>
      </c>
      <c r="BC235" t="s">
        <v>70</v>
      </c>
    </row>
    <row r="236" spans="1:55" x14ac:dyDescent="0.2">
      <c r="A236" s="18" t="s">
        <v>12</v>
      </c>
      <c r="B236" s="18" t="s">
        <v>6</v>
      </c>
      <c r="C236" s="3">
        <v>8.5</v>
      </c>
      <c r="D236" s="3">
        <v>9</v>
      </c>
      <c r="E236" s="3">
        <v>11</v>
      </c>
      <c r="F236" s="3">
        <v>13.5</v>
      </c>
      <c r="G236" s="3">
        <v>-9</v>
      </c>
      <c r="H236">
        <v>0.75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0.75</v>
      </c>
      <c r="R236">
        <v>1</v>
      </c>
      <c r="S236">
        <v>1</v>
      </c>
      <c r="T236">
        <f t="shared" si="26"/>
        <v>8.5</v>
      </c>
      <c r="U236">
        <f t="shared" si="27"/>
        <v>9</v>
      </c>
      <c r="V236">
        <f t="shared" si="28"/>
        <v>11</v>
      </c>
      <c r="W236">
        <f t="shared" si="29"/>
        <v>13.5</v>
      </c>
      <c r="X236">
        <f t="shared" si="30"/>
        <v>31</v>
      </c>
      <c r="Y236" t="str">
        <f>+VLOOKUP(A236,'[1]Tárgy kurzusai'!$A:$C,3,0)</f>
        <v>K:17:20-18:50(E.3.395)</v>
      </c>
      <c r="Z236">
        <f>+VLOOKUP(A236,'[1]Tárgy kurzusai'!$A:$F,6,0)</f>
        <v>4</v>
      </c>
      <c r="AA236" t="s">
        <v>66</v>
      </c>
      <c r="AB236" t="s">
        <v>71</v>
      </c>
      <c r="AC236" t="s">
        <v>74</v>
      </c>
      <c r="AD236" t="s">
        <v>60</v>
      </c>
      <c r="AE236" t="s">
        <v>69</v>
      </c>
      <c r="AF236" t="s">
        <v>69</v>
      </c>
      <c r="AG236" t="s">
        <v>55</v>
      </c>
      <c r="AH236" t="s">
        <v>55</v>
      </c>
      <c r="AI236" t="s">
        <v>55</v>
      </c>
      <c r="AJ236" t="s">
        <v>57</v>
      </c>
      <c r="AK236" t="s">
        <v>58</v>
      </c>
      <c r="AL236" t="s">
        <v>59</v>
      </c>
      <c r="AM236" t="s">
        <v>60</v>
      </c>
      <c r="AN236">
        <v>7</v>
      </c>
      <c r="AO236">
        <v>37</v>
      </c>
      <c r="AP236">
        <v>5</v>
      </c>
      <c r="AQ236">
        <v>14</v>
      </c>
      <c r="AR236" t="s">
        <v>55</v>
      </c>
      <c r="AS236" t="s">
        <v>61</v>
      </c>
      <c r="AT236" t="s">
        <v>56</v>
      </c>
      <c r="AU236" t="s">
        <v>62</v>
      </c>
      <c r="AV236" t="s">
        <v>63</v>
      </c>
      <c r="AW236" t="s">
        <v>60</v>
      </c>
      <c r="AX236" t="s">
        <v>60</v>
      </c>
      <c r="AY236">
        <v>3</v>
      </c>
      <c r="AZ236" t="s">
        <v>64</v>
      </c>
      <c r="BA236">
        <v>2</v>
      </c>
      <c r="BB236">
        <v>7</v>
      </c>
      <c r="BC236" t="s">
        <v>76</v>
      </c>
    </row>
    <row r="237" spans="1:55" x14ac:dyDescent="0.2">
      <c r="A237" s="18" t="s">
        <v>12</v>
      </c>
      <c r="B237" s="18" t="s">
        <v>6</v>
      </c>
      <c r="C237" s="3">
        <v>3.5</v>
      </c>
      <c r="D237" s="3">
        <v>5.5</v>
      </c>
      <c r="E237" s="3">
        <v>4.5</v>
      </c>
      <c r="F237" s="3" t="s">
        <v>13</v>
      </c>
      <c r="G237" s="3">
        <v>0</v>
      </c>
      <c r="H237">
        <v>1</v>
      </c>
      <c r="I237">
        <v>1</v>
      </c>
      <c r="J237">
        <v>1</v>
      </c>
      <c r="K237">
        <v>0.75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0.75</v>
      </c>
      <c r="R237">
        <v>1</v>
      </c>
      <c r="S237">
        <v>1</v>
      </c>
      <c r="T237">
        <f t="shared" si="26"/>
        <v>3.5</v>
      </c>
      <c r="U237">
        <f t="shared" si="27"/>
        <v>5.5</v>
      </c>
      <c r="V237">
        <f t="shared" si="28"/>
        <v>4.5</v>
      </c>
      <c r="W237" t="str">
        <f t="shared" si="29"/>
        <v>-</v>
      </c>
      <c r="X237">
        <f t="shared" si="30"/>
        <v>40</v>
      </c>
      <c r="Y237" t="str">
        <f>+VLOOKUP(A237,'[1]Tárgy kurzusai'!$A:$C,3,0)</f>
        <v>K:17:20-18:50(E.3.395)</v>
      </c>
      <c r="Z237">
        <f>+VLOOKUP(A237,'[1]Tárgy kurzusai'!$A:$F,6,0)</f>
        <v>4</v>
      </c>
      <c r="AA237" t="s">
        <v>49</v>
      </c>
      <c r="AB237" t="s">
        <v>50</v>
      </c>
      <c r="AC237" t="s">
        <v>51</v>
      </c>
      <c r="AD237" t="s">
        <v>68</v>
      </c>
      <c r="AE237" t="s">
        <v>69</v>
      </c>
      <c r="AF237" t="s">
        <v>69</v>
      </c>
      <c r="AG237" t="s">
        <v>55</v>
      </c>
      <c r="AH237" t="s">
        <v>55</v>
      </c>
      <c r="AI237" t="s">
        <v>55</v>
      </c>
      <c r="AJ237" t="s">
        <v>57</v>
      </c>
      <c r="AK237" t="s">
        <v>79</v>
      </c>
      <c r="AL237" t="s">
        <v>96</v>
      </c>
      <c r="AM237">
        <v>1</v>
      </c>
      <c r="AN237">
        <v>7</v>
      </c>
      <c r="AO237">
        <v>33</v>
      </c>
      <c r="AP237">
        <v>4</v>
      </c>
      <c r="AQ237">
        <v>12</v>
      </c>
      <c r="AR237" t="s">
        <v>55</v>
      </c>
      <c r="AS237" t="s">
        <v>61</v>
      </c>
      <c r="AT237" t="s">
        <v>55</v>
      </c>
      <c r="AU237" t="s">
        <v>62</v>
      </c>
      <c r="AV237" t="s">
        <v>63</v>
      </c>
      <c r="AW237" t="s">
        <v>60</v>
      </c>
      <c r="AX237" t="s">
        <v>60</v>
      </c>
      <c r="AY237">
        <v>3</v>
      </c>
      <c r="AZ237" t="s">
        <v>78</v>
      </c>
      <c r="BA237">
        <v>7</v>
      </c>
      <c r="BB237">
        <v>8</v>
      </c>
      <c r="BC237" t="s">
        <v>82</v>
      </c>
    </row>
    <row r="238" spans="1:55" x14ac:dyDescent="0.2">
      <c r="A238" s="18" t="s">
        <v>12</v>
      </c>
      <c r="B238" s="18" t="s">
        <v>6</v>
      </c>
      <c r="C238" s="3">
        <v>11</v>
      </c>
      <c r="D238" s="3">
        <v>15</v>
      </c>
      <c r="E238" s="3">
        <v>12.5</v>
      </c>
      <c r="F238" s="3">
        <v>16</v>
      </c>
      <c r="G238" s="3">
        <v>-9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f t="shared" si="26"/>
        <v>11</v>
      </c>
      <c r="U238">
        <f t="shared" si="27"/>
        <v>15</v>
      </c>
      <c r="V238">
        <f t="shared" si="28"/>
        <v>12.5</v>
      </c>
      <c r="W238">
        <f t="shared" si="29"/>
        <v>16</v>
      </c>
      <c r="X238">
        <f t="shared" si="30"/>
        <v>31</v>
      </c>
      <c r="Y238" t="str">
        <f>+VLOOKUP(A238,'[1]Tárgy kurzusai'!$A:$C,3,0)</f>
        <v>K:17:20-18:50(E.3.395)</v>
      </c>
      <c r="Z238">
        <f>+VLOOKUP(A238,'[1]Tárgy kurzusai'!$A:$F,6,0)</f>
        <v>4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</row>
    <row r="239" spans="1:55" x14ac:dyDescent="0.2">
      <c r="A239" s="18" t="s">
        <v>12</v>
      </c>
      <c r="B239" s="18" t="s">
        <v>6</v>
      </c>
      <c r="C239" s="3">
        <v>11</v>
      </c>
      <c r="D239" s="3">
        <v>13.5</v>
      </c>
      <c r="E239" s="3">
        <v>10</v>
      </c>
      <c r="F239" s="3">
        <v>11</v>
      </c>
      <c r="G239" s="3">
        <v>-7.5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0.75</v>
      </c>
      <c r="R239">
        <v>1</v>
      </c>
      <c r="S239">
        <v>1</v>
      </c>
      <c r="T239">
        <f t="shared" si="26"/>
        <v>11</v>
      </c>
      <c r="U239">
        <f t="shared" si="27"/>
        <v>13.5</v>
      </c>
      <c r="V239">
        <f t="shared" si="28"/>
        <v>10</v>
      </c>
      <c r="W239">
        <f t="shared" si="29"/>
        <v>11</v>
      </c>
      <c r="X239">
        <f t="shared" si="30"/>
        <v>32.5</v>
      </c>
      <c r="Y239" t="str">
        <f>+VLOOKUP(A239,'[1]Tárgy kurzusai'!$A:$C,3,0)</f>
        <v>K:17:20-18:50(E.3.395)</v>
      </c>
      <c r="Z239">
        <f>+VLOOKUP(A239,'[1]Tárgy kurzusai'!$A:$F,6,0)</f>
        <v>4</v>
      </c>
      <c r="AA239" t="s">
        <v>49</v>
      </c>
      <c r="AB239" t="s">
        <v>50</v>
      </c>
      <c r="AC239" t="s">
        <v>74</v>
      </c>
      <c r="AD239" t="s">
        <v>60</v>
      </c>
      <c r="AE239" t="s">
        <v>53</v>
      </c>
      <c r="AF239" t="s">
        <v>53</v>
      </c>
      <c r="AG239" t="s">
        <v>55</v>
      </c>
      <c r="AH239" t="s">
        <v>56</v>
      </c>
      <c r="AI239" t="s">
        <v>55</v>
      </c>
      <c r="AJ239" t="s">
        <v>57</v>
      </c>
      <c r="AK239" t="s">
        <v>58</v>
      </c>
      <c r="AL239" t="s">
        <v>59</v>
      </c>
      <c r="AM239" t="s">
        <v>60</v>
      </c>
      <c r="AN239">
        <v>7</v>
      </c>
      <c r="AO239">
        <v>33</v>
      </c>
      <c r="AP239">
        <v>5</v>
      </c>
      <c r="AQ239">
        <v>14</v>
      </c>
      <c r="AR239" t="s">
        <v>55</v>
      </c>
      <c r="AS239" t="s">
        <v>61</v>
      </c>
      <c r="AT239" t="s">
        <v>55</v>
      </c>
      <c r="AU239" t="s">
        <v>62</v>
      </c>
      <c r="AV239" t="s">
        <v>63</v>
      </c>
      <c r="AW239" t="s">
        <v>60</v>
      </c>
      <c r="AX239" t="s">
        <v>60</v>
      </c>
      <c r="AY239">
        <v>5</v>
      </c>
      <c r="AZ239" t="s">
        <v>64</v>
      </c>
      <c r="BA239">
        <v>3</v>
      </c>
      <c r="BB239">
        <v>7</v>
      </c>
      <c r="BC239" t="s">
        <v>65</v>
      </c>
    </row>
    <row r="240" spans="1:55" x14ac:dyDescent="0.2">
      <c r="A240" s="18" t="s">
        <v>12</v>
      </c>
      <c r="B240" s="18" t="s">
        <v>6</v>
      </c>
      <c r="C240" s="3">
        <v>12</v>
      </c>
      <c r="D240" s="3">
        <v>11</v>
      </c>
      <c r="E240" s="3">
        <v>7</v>
      </c>
      <c r="F240" s="3">
        <v>9.5</v>
      </c>
      <c r="G240" s="3">
        <v>-19.5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0.5</v>
      </c>
      <c r="R240">
        <v>1</v>
      </c>
      <c r="S240">
        <v>1</v>
      </c>
      <c r="T240">
        <f t="shared" si="26"/>
        <v>12</v>
      </c>
      <c r="U240">
        <f t="shared" si="27"/>
        <v>11</v>
      </c>
      <c r="V240">
        <f t="shared" si="28"/>
        <v>7</v>
      </c>
      <c r="W240">
        <f t="shared" si="29"/>
        <v>9.5</v>
      </c>
      <c r="X240">
        <f t="shared" si="30"/>
        <v>20.5</v>
      </c>
      <c r="Y240" t="str">
        <f>+VLOOKUP(A240,'[1]Tárgy kurzusai'!$A:$C,3,0)</f>
        <v>K:17:20-18:50(E.3.395)</v>
      </c>
      <c r="Z240">
        <f>+VLOOKUP(A240,'[1]Tárgy kurzusai'!$A:$F,6,0)</f>
        <v>4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</row>
    <row r="241" spans="1:55" x14ac:dyDescent="0.2">
      <c r="A241" s="18" t="s">
        <v>12</v>
      </c>
      <c r="B241" s="18" t="s">
        <v>6</v>
      </c>
      <c r="C241" s="3">
        <v>3</v>
      </c>
      <c r="D241" s="3">
        <v>4.5</v>
      </c>
      <c r="E241" s="3" t="s">
        <v>13</v>
      </c>
      <c r="F241" s="3" t="s">
        <v>13</v>
      </c>
      <c r="G241" s="3" t="e">
        <v>#N/A</v>
      </c>
      <c r="H241">
        <v>0.75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f t="shared" si="26"/>
        <v>3</v>
      </c>
      <c r="U241">
        <f t="shared" si="27"/>
        <v>4.5</v>
      </c>
      <c r="V241" t="str">
        <f t="shared" si="28"/>
        <v>-</v>
      </c>
      <c r="W241" t="str">
        <f t="shared" si="29"/>
        <v>-</v>
      </c>
      <c r="X241" t="e">
        <f t="shared" si="30"/>
        <v>#N/A</v>
      </c>
      <c r="Y241" t="str">
        <f>+VLOOKUP(A241,'[1]Tárgy kurzusai'!$A:$C,3,0)</f>
        <v>K:17:20-18:50(E.3.395)</v>
      </c>
      <c r="Z241">
        <f>+VLOOKUP(A241,'[1]Tárgy kurzusai'!$A:$F,6,0)</f>
        <v>4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</row>
    <row r="242" spans="1:55" x14ac:dyDescent="0.2">
      <c r="A242" s="18" t="s">
        <v>12</v>
      </c>
      <c r="B242" s="18" t="s">
        <v>6</v>
      </c>
      <c r="C242" s="3">
        <v>8.5</v>
      </c>
      <c r="D242" s="3">
        <v>7</v>
      </c>
      <c r="E242" s="3">
        <v>13</v>
      </c>
      <c r="F242" s="3">
        <v>7.5</v>
      </c>
      <c r="G242" s="3">
        <v>-19.5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1</v>
      </c>
      <c r="Q242">
        <v>0.5</v>
      </c>
      <c r="R242">
        <v>1</v>
      </c>
      <c r="S242">
        <v>1</v>
      </c>
      <c r="T242">
        <f t="shared" si="26"/>
        <v>8.5</v>
      </c>
      <c r="U242">
        <f t="shared" si="27"/>
        <v>7</v>
      </c>
      <c r="V242">
        <f t="shared" si="28"/>
        <v>13</v>
      </c>
      <c r="W242">
        <f t="shared" si="29"/>
        <v>7.5</v>
      </c>
      <c r="X242">
        <f t="shared" si="30"/>
        <v>20.5</v>
      </c>
      <c r="Y242" t="str">
        <f>+VLOOKUP(A242,'[1]Tárgy kurzusai'!$A:$C,3,0)</f>
        <v>K:17:20-18:50(E.3.395)</v>
      </c>
      <c r="Z242">
        <f>+VLOOKUP(A242,'[1]Tárgy kurzusai'!$A:$F,6,0)</f>
        <v>4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</row>
    <row r="243" spans="1:55" x14ac:dyDescent="0.2">
      <c r="A243" s="18" t="s">
        <v>12</v>
      </c>
      <c r="B243" s="18" t="s">
        <v>6</v>
      </c>
      <c r="C243" s="3">
        <v>4</v>
      </c>
      <c r="D243" s="3">
        <v>4</v>
      </c>
      <c r="E243" s="3">
        <v>1</v>
      </c>
      <c r="F243" s="3">
        <v>7.5</v>
      </c>
      <c r="G243" s="3">
        <v>-19.5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0.75</v>
      </c>
      <c r="O243">
        <v>1</v>
      </c>
      <c r="P243">
        <v>1</v>
      </c>
      <c r="Q243">
        <v>0.5</v>
      </c>
      <c r="R243">
        <v>1</v>
      </c>
      <c r="S243">
        <v>1</v>
      </c>
      <c r="T243">
        <f t="shared" si="26"/>
        <v>4</v>
      </c>
      <c r="U243">
        <f t="shared" si="27"/>
        <v>4</v>
      </c>
      <c r="V243">
        <f t="shared" si="28"/>
        <v>1</v>
      </c>
      <c r="W243">
        <f t="shared" si="29"/>
        <v>7.5</v>
      </c>
      <c r="X243">
        <f t="shared" si="30"/>
        <v>20.5</v>
      </c>
      <c r="Y243" t="str">
        <f>+VLOOKUP(A243,'[1]Tárgy kurzusai'!$A:$C,3,0)</f>
        <v>K:17:20-18:50(E.3.395)</v>
      </c>
      <c r="Z243">
        <f>+VLOOKUP(A243,'[1]Tárgy kurzusai'!$A:$F,6,0)</f>
        <v>4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</row>
    <row r="244" spans="1:55" x14ac:dyDescent="0.2">
      <c r="A244" s="18" t="s">
        <v>12</v>
      </c>
      <c r="B244" s="18" t="s">
        <v>6</v>
      </c>
      <c r="C244" s="3">
        <v>16</v>
      </c>
      <c r="D244" s="3">
        <v>14.5</v>
      </c>
      <c r="E244" s="3">
        <v>10</v>
      </c>
      <c r="F244" s="3">
        <v>16</v>
      </c>
      <c r="G244" s="3">
        <v>-14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0.67</v>
      </c>
      <c r="P244">
        <v>1</v>
      </c>
      <c r="Q244">
        <v>0.75</v>
      </c>
      <c r="R244">
        <v>1</v>
      </c>
      <c r="S244">
        <v>1</v>
      </c>
      <c r="T244">
        <f t="shared" si="26"/>
        <v>16</v>
      </c>
      <c r="U244">
        <f t="shared" si="27"/>
        <v>14.5</v>
      </c>
      <c r="V244">
        <f t="shared" si="28"/>
        <v>10</v>
      </c>
      <c r="W244">
        <f t="shared" si="29"/>
        <v>16</v>
      </c>
      <c r="X244">
        <f t="shared" si="30"/>
        <v>26</v>
      </c>
      <c r="Y244" t="str">
        <f>+VLOOKUP(A244,'[1]Tárgy kurzusai'!$A:$C,3,0)</f>
        <v>K:17:20-18:50(E.3.395)</v>
      </c>
      <c r="Z244">
        <f>+VLOOKUP(A244,'[1]Tárgy kurzusai'!$A:$F,6,0)</f>
        <v>4</v>
      </c>
      <c r="AA244" t="s">
        <v>49</v>
      </c>
      <c r="AB244" t="s">
        <v>71</v>
      </c>
      <c r="AC244" t="s">
        <v>74</v>
      </c>
      <c r="AD244" t="s">
        <v>60</v>
      </c>
      <c r="AE244" t="s">
        <v>69</v>
      </c>
      <c r="AF244" t="s">
        <v>69</v>
      </c>
      <c r="AG244" t="s">
        <v>55</v>
      </c>
      <c r="AH244" t="s">
        <v>55</v>
      </c>
      <c r="AI244" t="s">
        <v>55</v>
      </c>
      <c r="AJ244" t="s">
        <v>57</v>
      </c>
      <c r="AK244" t="s">
        <v>58</v>
      </c>
      <c r="AL244" t="s">
        <v>59</v>
      </c>
      <c r="AM244" t="s">
        <v>60</v>
      </c>
      <c r="AN244">
        <v>6</v>
      </c>
      <c r="AO244">
        <v>34</v>
      </c>
      <c r="AP244">
        <v>5</v>
      </c>
      <c r="AQ244">
        <v>6</v>
      </c>
      <c r="AR244" t="s">
        <v>55</v>
      </c>
      <c r="AS244" t="s">
        <v>61</v>
      </c>
      <c r="AT244" t="s">
        <v>55</v>
      </c>
      <c r="AU244" t="s">
        <v>62</v>
      </c>
      <c r="AV244" t="s">
        <v>63</v>
      </c>
      <c r="AW244" t="s">
        <v>60</v>
      </c>
      <c r="AX244" t="s">
        <v>60</v>
      </c>
      <c r="AY244">
        <v>3</v>
      </c>
      <c r="AZ244" t="s">
        <v>78</v>
      </c>
      <c r="BA244">
        <v>7</v>
      </c>
      <c r="BB244">
        <v>9</v>
      </c>
      <c r="BC244" t="s">
        <v>65</v>
      </c>
    </row>
    <row r="245" spans="1:55" x14ac:dyDescent="0.2">
      <c r="A245" s="18" t="s">
        <v>12</v>
      </c>
      <c r="B245" s="18" t="s">
        <v>6</v>
      </c>
      <c r="C245" s="3">
        <v>6</v>
      </c>
      <c r="D245" s="3">
        <v>8</v>
      </c>
      <c r="E245" s="3">
        <v>9</v>
      </c>
      <c r="F245" s="3">
        <v>7.5</v>
      </c>
      <c r="G245" s="3">
        <v>-20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0.75</v>
      </c>
      <c r="O245">
        <v>1</v>
      </c>
      <c r="P245">
        <v>1</v>
      </c>
      <c r="Q245">
        <v>0.25</v>
      </c>
      <c r="R245">
        <v>1</v>
      </c>
      <c r="S245">
        <v>1</v>
      </c>
      <c r="T245">
        <f t="shared" si="26"/>
        <v>6</v>
      </c>
      <c r="U245">
        <f t="shared" si="27"/>
        <v>8</v>
      </c>
      <c r="V245">
        <f t="shared" si="28"/>
        <v>9</v>
      </c>
      <c r="W245">
        <f t="shared" si="29"/>
        <v>7.5</v>
      </c>
      <c r="X245">
        <f t="shared" si="30"/>
        <v>20</v>
      </c>
      <c r="Y245" t="str">
        <f>+VLOOKUP(A245,'[1]Tárgy kurzusai'!$A:$C,3,0)</f>
        <v>K:17:20-18:50(E.3.395)</v>
      </c>
      <c r="Z245">
        <f>+VLOOKUP(A245,'[1]Tárgy kurzusai'!$A:$F,6,0)</f>
        <v>4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</row>
    <row r="246" spans="1:55" x14ac:dyDescent="0.2">
      <c r="A246" s="18" t="s">
        <v>12</v>
      </c>
      <c r="B246" s="18" t="s">
        <v>6</v>
      </c>
      <c r="C246" s="3">
        <v>9</v>
      </c>
      <c r="D246" s="3">
        <v>6</v>
      </c>
      <c r="E246" s="3">
        <v>10</v>
      </c>
      <c r="F246" s="3">
        <v>9</v>
      </c>
      <c r="G246" s="3">
        <v>-12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0.75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f t="shared" si="26"/>
        <v>9</v>
      </c>
      <c r="U246">
        <f t="shared" si="27"/>
        <v>6</v>
      </c>
      <c r="V246">
        <f t="shared" si="28"/>
        <v>10</v>
      </c>
      <c r="W246">
        <f t="shared" si="29"/>
        <v>9</v>
      </c>
      <c r="X246">
        <f t="shared" si="30"/>
        <v>28</v>
      </c>
      <c r="Y246" t="str">
        <f>+VLOOKUP(A246,'[1]Tárgy kurzusai'!$A:$C,3,0)</f>
        <v>K:17:20-18:50(E.3.395)</v>
      </c>
      <c r="Z246">
        <f>+VLOOKUP(A246,'[1]Tárgy kurzusai'!$A:$F,6,0)</f>
        <v>4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</row>
    <row r="247" spans="1:55" x14ac:dyDescent="0.2">
      <c r="A247" s="18" t="s">
        <v>12</v>
      </c>
      <c r="B247" s="18" t="s">
        <v>6</v>
      </c>
      <c r="C247" s="3">
        <v>10</v>
      </c>
      <c r="D247" s="3">
        <v>7.5</v>
      </c>
      <c r="E247" s="3">
        <v>10.5</v>
      </c>
      <c r="F247" s="3">
        <v>5.5</v>
      </c>
      <c r="G247" s="3">
        <v>-17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0.25</v>
      </c>
      <c r="N247">
        <v>1</v>
      </c>
      <c r="O247">
        <v>1</v>
      </c>
      <c r="P247">
        <v>1</v>
      </c>
      <c r="Q247">
        <v>0.75</v>
      </c>
      <c r="R247">
        <v>1</v>
      </c>
      <c r="S247">
        <v>1</v>
      </c>
      <c r="T247">
        <f t="shared" si="26"/>
        <v>10</v>
      </c>
      <c r="U247">
        <f t="shared" si="27"/>
        <v>7.5</v>
      </c>
      <c r="V247">
        <f t="shared" si="28"/>
        <v>10.5</v>
      </c>
      <c r="W247">
        <f t="shared" si="29"/>
        <v>5.5</v>
      </c>
      <c r="X247">
        <f t="shared" si="30"/>
        <v>23</v>
      </c>
      <c r="Y247" t="str">
        <f>+VLOOKUP(A247,'[1]Tárgy kurzusai'!$A:$C,3,0)</f>
        <v>K:17:20-18:50(E.3.395)</v>
      </c>
      <c r="Z247">
        <f>+VLOOKUP(A247,'[1]Tárgy kurzusai'!$A:$F,6,0)</f>
        <v>4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</row>
    <row r="248" spans="1:55" x14ac:dyDescent="0.2">
      <c r="A248" s="18" t="s">
        <v>12</v>
      </c>
      <c r="B248" s="18" t="s">
        <v>6</v>
      </c>
      <c r="C248" s="3">
        <v>8</v>
      </c>
      <c r="D248" s="3">
        <v>6.5</v>
      </c>
      <c r="E248" s="3">
        <v>9</v>
      </c>
      <c r="F248" s="3">
        <v>6.5</v>
      </c>
      <c r="G248" s="3">
        <v>-12</v>
      </c>
      <c r="H248">
        <v>0.75</v>
      </c>
      <c r="I248">
        <v>1</v>
      </c>
      <c r="J248">
        <v>0.75</v>
      </c>
      <c r="K248">
        <v>1</v>
      </c>
      <c r="L248">
        <v>1</v>
      </c>
      <c r="M248">
        <v>0</v>
      </c>
      <c r="N248">
        <v>0.75</v>
      </c>
      <c r="O248">
        <v>0.33</v>
      </c>
      <c r="P248">
        <v>1</v>
      </c>
      <c r="Q248">
        <v>0.5</v>
      </c>
      <c r="R248">
        <v>1</v>
      </c>
      <c r="S248">
        <v>1</v>
      </c>
      <c r="T248">
        <f t="shared" si="26"/>
        <v>8</v>
      </c>
      <c r="U248">
        <f t="shared" si="27"/>
        <v>6.5</v>
      </c>
      <c r="V248">
        <f t="shared" si="28"/>
        <v>9</v>
      </c>
      <c r="W248">
        <f t="shared" si="29"/>
        <v>6.5</v>
      </c>
      <c r="X248">
        <f t="shared" si="30"/>
        <v>28</v>
      </c>
      <c r="Y248" t="str">
        <f>+VLOOKUP(A248,'[1]Tárgy kurzusai'!$A:$C,3,0)</f>
        <v>K:17:20-18:50(E.3.395)</v>
      </c>
      <c r="Z248">
        <f>+VLOOKUP(A248,'[1]Tárgy kurzusai'!$A:$F,6,0)</f>
        <v>4</v>
      </c>
      <c r="AA248" t="s">
        <v>49</v>
      </c>
      <c r="AB248" t="s">
        <v>71</v>
      </c>
      <c r="AC248" t="s">
        <v>74</v>
      </c>
      <c r="AD248" t="s">
        <v>60</v>
      </c>
      <c r="AE248" t="s">
        <v>69</v>
      </c>
      <c r="AF248" t="s">
        <v>69</v>
      </c>
      <c r="AG248" t="s">
        <v>55</v>
      </c>
      <c r="AH248" t="s">
        <v>55</v>
      </c>
      <c r="AI248" t="s">
        <v>56</v>
      </c>
      <c r="AJ248" t="s">
        <v>57</v>
      </c>
      <c r="AK248" t="s">
        <v>58</v>
      </c>
      <c r="AL248" t="s">
        <v>59</v>
      </c>
      <c r="AM248" t="s">
        <v>60</v>
      </c>
      <c r="AN248">
        <v>6</v>
      </c>
      <c r="AO248">
        <v>30</v>
      </c>
      <c r="AP248">
        <v>5</v>
      </c>
      <c r="AQ248">
        <v>4</v>
      </c>
      <c r="AR248" t="s">
        <v>55</v>
      </c>
      <c r="AS248" t="s">
        <v>61</v>
      </c>
      <c r="AT248" t="s">
        <v>56</v>
      </c>
      <c r="AU248" t="s">
        <v>62</v>
      </c>
      <c r="AV248" t="s">
        <v>63</v>
      </c>
      <c r="AW248" t="s">
        <v>60</v>
      </c>
      <c r="AX248" t="s">
        <v>60</v>
      </c>
      <c r="AY248">
        <v>4</v>
      </c>
      <c r="AZ248" t="s">
        <v>78</v>
      </c>
      <c r="BA248">
        <v>5</v>
      </c>
      <c r="BB248">
        <v>7</v>
      </c>
      <c r="BC248" t="s">
        <v>70</v>
      </c>
    </row>
    <row r="249" spans="1:55" x14ac:dyDescent="0.2">
      <c r="A249" s="3" t="s">
        <v>14</v>
      </c>
      <c r="B249" s="3" t="s">
        <v>3</v>
      </c>
      <c r="C249" s="3">
        <v>-11</v>
      </c>
      <c r="D249" s="3">
        <v>-13</v>
      </c>
      <c r="E249" s="3">
        <v>-8</v>
      </c>
      <c r="F249" s="3">
        <v>-6</v>
      </c>
      <c r="G249" s="3">
        <v>-16.5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0.5</v>
      </c>
      <c r="P249">
        <v>1</v>
      </c>
      <c r="Q249">
        <v>0.5</v>
      </c>
      <c r="R249">
        <v>1</v>
      </c>
      <c r="S249">
        <v>1</v>
      </c>
      <c r="T249">
        <f t="shared" ref="T249:T279" si="31">16+C249</f>
        <v>5</v>
      </c>
      <c r="U249">
        <f t="shared" ref="U249:U279" si="32">16+D249</f>
        <v>3</v>
      </c>
      <c r="V249">
        <f t="shared" ref="V249:V279" si="33">16+E249</f>
        <v>8</v>
      </c>
      <c r="W249">
        <f t="shared" ref="W249:W279" si="34">16+F249</f>
        <v>10</v>
      </c>
      <c r="X249">
        <f t="shared" ref="X249:X310" si="35">40+G249</f>
        <v>23.5</v>
      </c>
      <c r="Y249" t="str">
        <f>+VLOOKUP(A249,'[1]Tárgy kurzusai'!$A:$C,3,0)</f>
        <v>P:09:50-11:20(C 415)</v>
      </c>
      <c r="Z249">
        <f>+VLOOKUP(A249,'[1]Tárgy kurzusai'!$A:$F,6,0)</f>
        <v>6</v>
      </c>
      <c r="AA249" t="s">
        <v>49</v>
      </c>
      <c r="AB249" t="s">
        <v>71</v>
      </c>
      <c r="AC249" t="s">
        <v>74</v>
      </c>
      <c r="AD249" t="s">
        <v>60</v>
      </c>
      <c r="AE249" t="s">
        <v>69</v>
      </c>
      <c r="AF249" t="s">
        <v>69</v>
      </c>
      <c r="AG249" t="s">
        <v>55</v>
      </c>
      <c r="AH249" t="s">
        <v>55</v>
      </c>
      <c r="AI249" t="s">
        <v>55</v>
      </c>
      <c r="AJ249" t="s">
        <v>57</v>
      </c>
      <c r="AK249" t="s">
        <v>79</v>
      </c>
      <c r="AL249" t="s">
        <v>59</v>
      </c>
      <c r="AM249" t="s">
        <v>60</v>
      </c>
      <c r="AN249">
        <v>6</v>
      </c>
      <c r="AO249">
        <v>30</v>
      </c>
      <c r="AP249">
        <v>5</v>
      </c>
      <c r="AQ249">
        <v>3</v>
      </c>
      <c r="AR249" t="s">
        <v>55</v>
      </c>
      <c r="AS249" t="s">
        <v>55</v>
      </c>
      <c r="AT249" t="s">
        <v>55</v>
      </c>
      <c r="AU249" t="s">
        <v>62</v>
      </c>
      <c r="AV249" t="s">
        <v>63</v>
      </c>
      <c r="AW249" t="s">
        <v>60</v>
      </c>
      <c r="AX249" t="s">
        <v>60</v>
      </c>
      <c r="AY249">
        <v>4</v>
      </c>
      <c r="AZ249" t="s">
        <v>64</v>
      </c>
      <c r="BA249">
        <v>8</v>
      </c>
      <c r="BB249">
        <v>8</v>
      </c>
      <c r="BC249" t="s">
        <v>70</v>
      </c>
    </row>
    <row r="250" spans="1:55" x14ac:dyDescent="0.2">
      <c r="A250" s="3" t="s">
        <v>14</v>
      </c>
      <c r="B250" s="3" t="s">
        <v>3</v>
      </c>
      <c r="C250" s="3">
        <v>-3</v>
      </c>
      <c r="D250" s="3">
        <v>-5.5</v>
      </c>
      <c r="E250" s="3">
        <v>-2.5</v>
      </c>
      <c r="F250" s="3">
        <v>-8</v>
      </c>
      <c r="G250" s="3">
        <v>-10.5</v>
      </c>
      <c r="H250">
        <v>0.75</v>
      </c>
      <c r="I250">
        <v>0.75</v>
      </c>
      <c r="J250">
        <v>1</v>
      </c>
      <c r="K250">
        <v>0.5</v>
      </c>
      <c r="L250">
        <v>1</v>
      </c>
      <c r="M250">
        <v>1</v>
      </c>
      <c r="N250">
        <v>0.75</v>
      </c>
      <c r="O250">
        <v>1</v>
      </c>
      <c r="P250">
        <v>1</v>
      </c>
      <c r="Q250">
        <v>0.5</v>
      </c>
      <c r="R250">
        <v>1</v>
      </c>
      <c r="S250">
        <v>1</v>
      </c>
      <c r="T250">
        <f t="shared" si="31"/>
        <v>13</v>
      </c>
      <c r="U250">
        <f t="shared" si="32"/>
        <v>10.5</v>
      </c>
      <c r="V250">
        <f t="shared" si="33"/>
        <v>13.5</v>
      </c>
      <c r="W250">
        <f t="shared" si="34"/>
        <v>8</v>
      </c>
      <c r="X250">
        <f t="shared" si="35"/>
        <v>29.5</v>
      </c>
      <c r="Y250" t="str">
        <f>+VLOOKUP(A250,'[1]Tárgy kurzusai'!$A:$C,3,0)</f>
        <v>P:09:50-11:20(C 415)</v>
      </c>
      <c r="Z250">
        <f>+VLOOKUP(A250,'[1]Tárgy kurzusai'!$A:$F,6,0)</f>
        <v>6</v>
      </c>
      <c r="AA250" t="s">
        <v>49</v>
      </c>
      <c r="AB250" t="s">
        <v>71</v>
      </c>
      <c r="AC250" t="s">
        <v>75</v>
      </c>
      <c r="AD250" t="s">
        <v>111</v>
      </c>
      <c r="AE250" t="s">
        <v>54</v>
      </c>
      <c r="AF250" t="s">
        <v>54</v>
      </c>
      <c r="AG250" t="s">
        <v>56</v>
      </c>
      <c r="AH250" t="s">
        <v>55</v>
      </c>
      <c r="AI250" t="s">
        <v>55</v>
      </c>
      <c r="AJ250" t="s">
        <v>60</v>
      </c>
      <c r="AK250" t="s">
        <v>58</v>
      </c>
      <c r="AL250" t="s">
        <v>59</v>
      </c>
      <c r="AM250" t="s">
        <v>60</v>
      </c>
      <c r="AN250">
        <v>7</v>
      </c>
      <c r="AO250">
        <v>34</v>
      </c>
      <c r="AP250">
        <v>6</v>
      </c>
      <c r="AQ250">
        <v>13</v>
      </c>
      <c r="AR250" t="s">
        <v>55</v>
      </c>
      <c r="AS250" t="s">
        <v>55</v>
      </c>
      <c r="AT250" t="s">
        <v>56</v>
      </c>
      <c r="AU250" t="s">
        <v>62</v>
      </c>
      <c r="AV250" t="s">
        <v>63</v>
      </c>
      <c r="AW250" t="s">
        <v>60</v>
      </c>
      <c r="AX250" t="s">
        <v>60</v>
      </c>
      <c r="AY250">
        <v>5</v>
      </c>
      <c r="AZ250" t="s">
        <v>64</v>
      </c>
      <c r="BA250">
        <v>7</v>
      </c>
      <c r="BB250">
        <v>6</v>
      </c>
      <c r="BC250" t="s">
        <v>76</v>
      </c>
    </row>
    <row r="251" spans="1:55" x14ac:dyDescent="0.2">
      <c r="A251" s="3" t="s">
        <v>14</v>
      </c>
      <c r="B251" s="3" t="s">
        <v>3</v>
      </c>
      <c r="C251" s="3">
        <v>-9</v>
      </c>
      <c r="D251" s="3">
        <v>-10</v>
      </c>
      <c r="E251" s="3">
        <v>-11.5</v>
      </c>
      <c r="F251" s="3">
        <v>-7</v>
      </c>
      <c r="G251" s="3">
        <v>-13.5</v>
      </c>
      <c r="H251">
        <v>1</v>
      </c>
      <c r="I251">
        <v>1</v>
      </c>
      <c r="J251">
        <v>1</v>
      </c>
      <c r="K251">
        <v>0.75</v>
      </c>
      <c r="L251">
        <v>1</v>
      </c>
      <c r="M251">
        <v>1</v>
      </c>
      <c r="N251">
        <v>0.75</v>
      </c>
      <c r="O251">
        <v>1</v>
      </c>
      <c r="P251">
        <v>1</v>
      </c>
      <c r="Q251">
        <v>0.5</v>
      </c>
      <c r="R251">
        <v>0.75</v>
      </c>
      <c r="S251">
        <v>1</v>
      </c>
      <c r="T251">
        <f t="shared" si="31"/>
        <v>7</v>
      </c>
      <c r="U251">
        <f t="shared" si="32"/>
        <v>6</v>
      </c>
      <c r="V251">
        <f t="shared" si="33"/>
        <v>4.5</v>
      </c>
      <c r="W251">
        <f t="shared" si="34"/>
        <v>9</v>
      </c>
      <c r="X251">
        <f t="shared" si="35"/>
        <v>26.5</v>
      </c>
      <c r="Y251" t="str">
        <f>+VLOOKUP(A251,'[1]Tárgy kurzusai'!$A:$C,3,0)</f>
        <v>P:09:50-11:20(C 415)</v>
      </c>
      <c r="Z251">
        <f>+VLOOKUP(A251,'[1]Tárgy kurzusai'!$A:$F,6,0)</f>
        <v>6</v>
      </c>
      <c r="AA251" t="s">
        <v>49</v>
      </c>
      <c r="AB251" t="s">
        <v>50</v>
      </c>
      <c r="AC251" t="s">
        <v>51</v>
      </c>
      <c r="AD251" t="s">
        <v>68</v>
      </c>
      <c r="AE251" t="s">
        <v>69</v>
      </c>
      <c r="AF251" t="s">
        <v>53</v>
      </c>
      <c r="AG251" t="s">
        <v>55</v>
      </c>
      <c r="AH251" t="s">
        <v>56</v>
      </c>
      <c r="AI251" t="s">
        <v>55</v>
      </c>
      <c r="AJ251" t="s">
        <v>57</v>
      </c>
      <c r="AK251" t="s">
        <v>79</v>
      </c>
      <c r="AL251" t="s">
        <v>59</v>
      </c>
      <c r="AM251" t="s">
        <v>60</v>
      </c>
      <c r="AN251">
        <v>6</v>
      </c>
      <c r="AO251">
        <v>27</v>
      </c>
      <c r="AP251">
        <v>4</v>
      </c>
      <c r="AQ251">
        <v>11</v>
      </c>
      <c r="AR251" t="s">
        <v>55</v>
      </c>
      <c r="AS251" t="s">
        <v>55</v>
      </c>
      <c r="AT251" t="s">
        <v>56</v>
      </c>
      <c r="AU251" t="s">
        <v>62</v>
      </c>
      <c r="AV251" t="s">
        <v>63</v>
      </c>
      <c r="AW251" t="s">
        <v>60</v>
      </c>
      <c r="AX251" t="s">
        <v>60</v>
      </c>
      <c r="AY251">
        <v>4</v>
      </c>
      <c r="AZ251" t="s">
        <v>64</v>
      </c>
      <c r="BA251">
        <v>7</v>
      </c>
      <c r="BB251">
        <v>7</v>
      </c>
      <c r="BC251" t="s">
        <v>65</v>
      </c>
    </row>
    <row r="252" spans="1:55" x14ac:dyDescent="0.2">
      <c r="A252" s="3" t="s">
        <v>14</v>
      </c>
      <c r="B252" s="3" t="s">
        <v>3</v>
      </c>
      <c r="C252" s="3">
        <v>-5</v>
      </c>
      <c r="D252" s="3">
        <v>-1</v>
      </c>
      <c r="E252" s="3">
        <v>-7</v>
      </c>
      <c r="F252" s="3">
        <v>-1</v>
      </c>
      <c r="G252" s="3">
        <v>-10.5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0.67</v>
      </c>
      <c r="P252">
        <v>1</v>
      </c>
      <c r="Q252">
        <v>0.75</v>
      </c>
      <c r="R252">
        <v>1</v>
      </c>
      <c r="S252">
        <v>1</v>
      </c>
      <c r="T252">
        <f t="shared" si="31"/>
        <v>11</v>
      </c>
      <c r="U252">
        <f t="shared" si="32"/>
        <v>15</v>
      </c>
      <c r="V252">
        <f t="shared" si="33"/>
        <v>9</v>
      </c>
      <c r="W252">
        <f t="shared" si="34"/>
        <v>15</v>
      </c>
      <c r="X252">
        <f t="shared" si="35"/>
        <v>29.5</v>
      </c>
      <c r="Y252" t="str">
        <f>+VLOOKUP(A252,'[1]Tárgy kurzusai'!$A:$C,3,0)</f>
        <v>P:09:50-11:20(C 415)</v>
      </c>
      <c r="Z252">
        <f>+VLOOKUP(A252,'[1]Tárgy kurzusai'!$A:$F,6,0)</f>
        <v>6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</row>
    <row r="253" spans="1:55" x14ac:dyDescent="0.2">
      <c r="A253" s="3" t="s">
        <v>14</v>
      </c>
      <c r="B253" s="3" t="s">
        <v>3</v>
      </c>
      <c r="C253" s="3">
        <v>-8</v>
      </c>
      <c r="D253" s="3">
        <v>-5.5</v>
      </c>
      <c r="E253" s="19">
        <v>-16</v>
      </c>
      <c r="F253" s="3">
        <v>-6.5</v>
      </c>
      <c r="G253" s="3">
        <v>-20.5</v>
      </c>
      <c r="H253">
        <v>0.5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0.67</v>
      </c>
      <c r="P253">
        <v>1</v>
      </c>
      <c r="Q253">
        <v>0.5</v>
      </c>
      <c r="R253">
        <v>1</v>
      </c>
      <c r="S253">
        <v>1</v>
      </c>
      <c r="T253">
        <f t="shared" si="31"/>
        <v>8</v>
      </c>
      <c r="U253">
        <f t="shared" si="32"/>
        <v>10.5</v>
      </c>
      <c r="V253">
        <f t="shared" si="33"/>
        <v>0</v>
      </c>
      <c r="W253">
        <f t="shared" si="34"/>
        <v>9.5</v>
      </c>
      <c r="X253">
        <f t="shared" si="35"/>
        <v>19.5</v>
      </c>
      <c r="Y253" t="str">
        <f>+VLOOKUP(A253,'[1]Tárgy kurzusai'!$A:$C,3,0)</f>
        <v>P:09:50-11:20(C 415)</v>
      </c>
      <c r="Z253">
        <f>+VLOOKUP(A253,'[1]Tárgy kurzusai'!$A:$F,6,0)</f>
        <v>6</v>
      </c>
      <c r="AA253" t="s">
        <v>66</v>
      </c>
      <c r="AB253" t="s">
        <v>71</v>
      </c>
      <c r="AC253" t="s">
        <v>74</v>
      </c>
      <c r="AD253" t="s">
        <v>60</v>
      </c>
      <c r="AE253" t="s">
        <v>69</v>
      </c>
      <c r="AF253" t="s">
        <v>69</v>
      </c>
      <c r="AG253" t="s">
        <v>55</v>
      </c>
      <c r="AH253" t="s">
        <v>55</v>
      </c>
      <c r="AI253" t="s">
        <v>55</v>
      </c>
      <c r="AJ253" t="s">
        <v>57</v>
      </c>
      <c r="AK253" t="s">
        <v>79</v>
      </c>
      <c r="AL253" t="s">
        <v>59</v>
      </c>
      <c r="AM253" t="s">
        <v>60</v>
      </c>
      <c r="AN253">
        <v>5</v>
      </c>
      <c r="AO253">
        <v>24</v>
      </c>
      <c r="AP253">
        <v>4</v>
      </c>
      <c r="AQ253">
        <v>9</v>
      </c>
      <c r="AR253" t="s">
        <v>55</v>
      </c>
      <c r="AS253" t="s">
        <v>61</v>
      </c>
      <c r="AT253" t="s">
        <v>55</v>
      </c>
      <c r="AU253" t="s">
        <v>62</v>
      </c>
      <c r="AV253" t="s">
        <v>63</v>
      </c>
      <c r="AW253" t="s">
        <v>60</v>
      </c>
      <c r="AX253" t="s">
        <v>60</v>
      </c>
      <c r="AY253">
        <v>4</v>
      </c>
      <c r="AZ253" t="s">
        <v>64</v>
      </c>
      <c r="BA253">
        <v>6</v>
      </c>
      <c r="BB253">
        <v>8</v>
      </c>
      <c r="BC253" t="s">
        <v>82</v>
      </c>
    </row>
    <row r="254" spans="1:55" x14ac:dyDescent="0.2">
      <c r="A254" s="3" t="s">
        <v>14</v>
      </c>
      <c r="B254" s="3" t="s">
        <v>3</v>
      </c>
      <c r="C254" s="3">
        <v>-12.5</v>
      </c>
      <c r="D254" s="3">
        <v>-5.5</v>
      </c>
      <c r="E254" s="3">
        <v>-12.5</v>
      </c>
      <c r="F254" s="19">
        <v>-16</v>
      </c>
      <c r="G254" s="3" t="e">
        <v>#N/A</v>
      </c>
      <c r="H254">
        <v>1</v>
      </c>
      <c r="I254">
        <v>0.75</v>
      </c>
      <c r="J254">
        <v>0.75</v>
      </c>
      <c r="K254">
        <v>1</v>
      </c>
      <c r="L254">
        <v>1</v>
      </c>
      <c r="M254">
        <v>0.5</v>
      </c>
      <c r="N254">
        <v>0.5</v>
      </c>
      <c r="O254">
        <v>0</v>
      </c>
      <c r="P254">
        <v>0.75</v>
      </c>
      <c r="Q254">
        <v>0.5</v>
      </c>
      <c r="R254">
        <v>0</v>
      </c>
      <c r="S254">
        <v>0</v>
      </c>
      <c r="T254">
        <f t="shared" si="31"/>
        <v>3.5</v>
      </c>
      <c r="U254">
        <f t="shared" si="32"/>
        <v>10.5</v>
      </c>
      <c r="V254">
        <f t="shared" si="33"/>
        <v>3.5</v>
      </c>
      <c r="W254">
        <f t="shared" si="34"/>
        <v>0</v>
      </c>
      <c r="X254" t="e">
        <f t="shared" si="35"/>
        <v>#N/A</v>
      </c>
      <c r="Y254" t="str">
        <f>+VLOOKUP(A254,'[1]Tárgy kurzusai'!$A:$C,3,0)</f>
        <v>P:09:50-11:20(C 415)</v>
      </c>
      <c r="Z254">
        <f>+VLOOKUP(A254,'[1]Tárgy kurzusai'!$A:$F,6,0)</f>
        <v>6</v>
      </c>
      <c r="AA254" t="s">
        <v>49</v>
      </c>
      <c r="AB254" t="s">
        <v>50</v>
      </c>
      <c r="AC254" t="s">
        <v>74</v>
      </c>
      <c r="AD254" t="s">
        <v>60</v>
      </c>
      <c r="AE254" t="s">
        <v>69</v>
      </c>
      <c r="AF254" t="s">
        <v>53</v>
      </c>
      <c r="AG254" t="s">
        <v>55</v>
      </c>
      <c r="AH254" t="s">
        <v>55</v>
      </c>
      <c r="AI254" t="s">
        <v>55</v>
      </c>
      <c r="AJ254" t="s">
        <v>57</v>
      </c>
      <c r="AK254" t="s">
        <v>79</v>
      </c>
      <c r="AL254" t="s">
        <v>59</v>
      </c>
      <c r="AM254" t="s">
        <v>60</v>
      </c>
      <c r="AN254">
        <v>7</v>
      </c>
      <c r="AO254">
        <v>34</v>
      </c>
      <c r="AP254">
        <v>4</v>
      </c>
      <c r="AQ254">
        <v>6</v>
      </c>
      <c r="AR254" t="s">
        <v>55</v>
      </c>
      <c r="AS254" t="s">
        <v>61</v>
      </c>
      <c r="AT254" t="s">
        <v>56</v>
      </c>
      <c r="AU254" t="s">
        <v>62</v>
      </c>
      <c r="AV254" t="s">
        <v>63</v>
      </c>
      <c r="AW254" t="s">
        <v>60</v>
      </c>
      <c r="AX254" t="s">
        <v>60</v>
      </c>
      <c r="AY254">
        <v>4</v>
      </c>
      <c r="AZ254" t="s">
        <v>78</v>
      </c>
      <c r="BA254">
        <v>6</v>
      </c>
      <c r="BB254">
        <v>8</v>
      </c>
      <c r="BC254" t="s">
        <v>70</v>
      </c>
    </row>
    <row r="255" spans="1:55" x14ac:dyDescent="0.2">
      <c r="A255" s="3" t="s">
        <v>14</v>
      </c>
      <c r="B255" s="3" t="s">
        <v>3</v>
      </c>
      <c r="C255" s="3">
        <v>-5</v>
      </c>
      <c r="D255" s="3">
        <v>-4</v>
      </c>
      <c r="E255" s="3">
        <v>-3.5</v>
      </c>
      <c r="F255" s="3">
        <v>-8</v>
      </c>
      <c r="G255" s="3">
        <v>-15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1</v>
      </c>
      <c r="Q255">
        <v>0.75</v>
      </c>
      <c r="R255">
        <v>1</v>
      </c>
      <c r="S255">
        <v>1</v>
      </c>
      <c r="T255">
        <f t="shared" si="31"/>
        <v>11</v>
      </c>
      <c r="U255">
        <f t="shared" si="32"/>
        <v>12</v>
      </c>
      <c r="V255">
        <f t="shared" si="33"/>
        <v>12.5</v>
      </c>
      <c r="W255">
        <f t="shared" si="34"/>
        <v>8</v>
      </c>
      <c r="X255">
        <f t="shared" si="35"/>
        <v>25</v>
      </c>
      <c r="Y255" t="str">
        <f>+VLOOKUP(A255,'[1]Tárgy kurzusai'!$A:$C,3,0)</f>
        <v>P:09:50-11:20(C 415)</v>
      </c>
      <c r="Z255">
        <f>+VLOOKUP(A255,'[1]Tárgy kurzusai'!$A:$F,6,0)</f>
        <v>6</v>
      </c>
      <c r="AA255" t="s">
        <v>66</v>
      </c>
      <c r="AB255" t="s">
        <v>50</v>
      </c>
      <c r="AC255" t="s">
        <v>51</v>
      </c>
      <c r="AD255" t="s">
        <v>68</v>
      </c>
      <c r="AE255" t="s">
        <v>53</v>
      </c>
      <c r="AF255" t="s">
        <v>112</v>
      </c>
      <c r="AG255" t="s">
        <v>55</v>
      </c>
      <c r="AH255" t="s">
        <v>55</v>
      </c>
      <c r="AI255" t="s">
        <v>55</v>
      </c>
      <c r="AJ255" t="s">
        <v>57</v>
      </c>
      <c r="AK255" t="s">
        <v>58</v>
      </c>
      <c r="AL255" t="s">
        <v>59</v>
      </c>
      <c r="AM255" t="s">
        <v>60</v>
      </c>
      <c r="AN255">
        <v>6</v>
      </c>
      <c r="AO255">
        <v>28</v>
      </c>
      <c r="AP255">
        <v>4</v>
      </c>
      <c r="AQ255">
        <v>11</v>
      </c>
      <c r="AR255" t="s">
        <v>55</v>
      </c>
      <c r="AS255" t="s">
        <v>61</v>
      </c>
      <c r="AT255" t="s">
        <v>56</v>
      </c>
      <c r="AU255" t="s">
        <v>62</v>
      </c>
      <c r="AV255" t="s">
        <v>63</v>
      </c>
      <c r="AW255" t="s">
        <v>60</v>
      </c>
      <c r="AX255" t="s">
        <v>60</v>
      </c>
      <c r="AY255">
        <v>3</v>
      </c>
      <c r="AZ255" t="s">
        <v>64</v>
      </c>
      <c r="BA255">
        <v>4</v>
      </c>
      <c r="BB255">
        <v>3</v>
      </c>
      <c r="BC255" t="s">
        <v>76</v>
      </c>
    </row>
    <row r="256" spans="1:55" x14ac:dyDescent="0.2">
      <c r="A256" s="3" t="s">
        <v>14</v>
      </c>
      <c r="B256" s="3" t="s">
        <v>3</v>
      </c>
      <c r="C256" s="19">
        <v>-16</v>
      </c>
      <c r="D256" s="3">
        <v>-14</v>
      </c>
      <c r="E256" s="3">
        <v>-15</v>
      </c>
      <c r="F256" s="3">
        <v>-11.5</v>
      </c>
      <c r="G256" s="3">
        <v>-21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0.75</v>
      </c>
      <c r="N256">
        <v>0.5</v>
      </c>
      <c r="O256">
        <v>0</v>
      </c>
      <c r="P256">
        <v>1</v>
      </c>
      <c r="Q256">
        <v>0.25</v>
      </c>
      <c r="R256">
        <v>1</v>
      </c>
      <c r="S256">
        <v>1</v>
      </c>
      <c r="T256">
        <f t="shared" si="31"/>
        <v>0</v>
      </c>
      <c r="U256">
        <f t="shared" si="32"/>
        <v>2</v>
      </c>
      <c r="V256">
        <f t="shared" si="33"/>
        <v>1</v>
      </c>
      <c r="W256">
        <f t="shared" si="34"/>
        <v>4.5</v>
      </c>
      <c r="X256">
        <f t="shared" si="35"/>
        <v>19</v>
      </c>
      <c r="Y256" t="str">
        <f>+VLOOKUP(A256,'[1]Tárgy kurzusai'!$A:$C,3,0)</f>
        <v>P:09:50-11:20(C 415)</v>
      </c>
      <c r="Z256">
        <f>+VLOOKUP(A256,'[1]Tárgy kurzusai'!$A:$F,6,0)</f>
        <v>6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</row>
    <row r="257" spans="1:55" x14ac:dyDescent="0.2">
      <c r="A257" s="3" t="s">
        <v>14</v>
      </c>
      <c r="B257" s="3" t="s">
        <v>3</v>
      </c>
      <c r="C257" s="3">
        <v>-9</v>
      </c>
      <c r="D257" s="3">
        <v>-10</v>
      </c>
      <c r="E257" s="3">
        <v>-3</v>
      </c>
      <c r="F257" s="3">
        <v>0</v>
      </c>
      <c r="G257" s="3">
        <v>-21.5</v>
      </c>
      <c r="H257">
        <v>0.75</v>
      </c>
      <c r="I257">
        <v>0.5</v>
      </c>
      <c r="J257">
        <v>1</v>
      </c>
      <c r="K257">
        <v>1</v>
      </c>
      <c r="L257">
        <v>0.5</v>
      </c>
      <c r="M257">
        <v>0</v>
      </c>
      <c r="N257">
        <v>1</v>
      </c>
      <c r="O257">
        <v>1</v>
      </c>
      <c r="P257">
        <v>1</v>
      </c>
      <c r="Q257">
        <v>0.75</v>
      </c>
      <c r="R257">
        <v>1</v>
      </c>
      <c r="S257">
        <v>1</v>
      </c>
      <c r="T257">
        <f t="shared" si="31"/>
        <v>7</v>
      </c>
      <c r="U257">
        <f t="shared" si="32"/>
        <v>6</v>
      </c>
      <c r="V257">
        <f t="shared" si="33"/>
        <v>13</v>
      </c>
      <c r="W257">
        <f t="shared" si="34"/>
        <v>16</v>
      </c>
      <c r="X257">
        <f t="shared" si="35"/>
        <v>18.5</v>
      </c>
      <c r="Y257" t="str">
        <f>+VLOOKUP(A257,'[1]Tárgy kurzusai'!$A:$C,3,0)</f>
        <v>P:09:50-11:20(C 415)</v>
      </c>
      <c r="Z257">
        <f>+VLOOKUP(A257,'[1]Tárgy kurzusai'!$A:$F,6,0)</f>
        <v>6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</row>
    <row r="258" spans="1:55" x14ac:dyDescent="0.2">
      <c r="A258" s="3" t="s">
        <v>14</v>
      </c>
      <c r="B258" s="3" t="s">
        <v>3</v>
      </c>
      <c r="C258" s="3">
        <v>-11.5</v>
      </c>
      <c r="D258" s="3">
        <v>-12</v>
      </c>
      <c r="E258" s="3">
        <v>-9.5</v>
      </c>
      <c r="F258" s="19">
        <v>-16</v>
      </c>
      <c r="G258" s="3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0.25</v>
      </c>
      <c r="R258">
        <v>1</v>
      </c>
      <c r="S258">
        <v>1</v>
      </c>
      <c r="T258">
        <f t="shared" si="31"/>
        <v>4.5</v>
      </c>
      <c r="U258">
        <f t="shared" si="32"/>
        <v>4</v>
      </c>
      <c r="V258">
        <f t="shared" si="33"/>
        <v>6.5</v>
      </c>
      <c r="W258">
        <f t="shared" si="34"/>
        <v>0</v>
      </c>
      <c r="X258">
        <f t="shared" si="35"/>
        <v>40</v>
      </c>
      <c r="Y258" t="str">
        <f>+VLOOKUP(A258,'[1]Tárgy kurzusai'!$A:$C,3,0)</f>
        <v>P:09:50-11:20(C 415)</v>
      </c>
      <c r="Z258">
        <f>+VLOOKUP(A258,'[1]Tárgy kurzusai'!$A:$F,6,0)</f>
        <v>6</v>
      </c>
      <c r="AA258" t="s">
        <v>49</v>
      </c>
      <c r="AB258" t="s">
        <v>50</v>
      </c>
      <c r="AC258" t="s">
        <v>72</v>
      </c>
      <c r="AD258" t="s">
        <v>111</v>
      </c>
      <c r="AE258" t="s">
        <v>69</v>
      </c>
      <c r="AF258" t="s">
        <v>69</v>
      </c>
      <c r="AG258" t="s">
        <v>56</v>
      </c>
      <c r="AH258" t="s">
        <v>55</v>
      </c>
      <c r="AI258" t="s">
        <v>56</v>
      </c>
      <c r="AJ258" t="s">
        <v>57</v>
      </c>
      <c r="AK258" t="s">
        <v>58</v>
      </c>
      <c r="AL258" t="s">
        <v>59</v>
      </c>
      <c r="AM258" t="s">
        <v>60</v>
      </c>
      <c r="AN258">
        <v>8</v>
      </c>
      <c r="AO258">
        <v>36</v>
      </c>
      <c r="AP258">
        <v>4</v>
      </c>
      <c r="AQ258">
        <v>12</v>
      </c>
      <c r="AR258" t="s">
        <v>55</v>
      </c>
      <c r="AS258" t="s">
        <v>55</v>
      </c>
      <c r="AT258" t="s">
        <v>55</v>
      </c>
      <c r="AU258" t="s">
        <v>62</v>
      </c>
      <c r="AV258" t="s">
        <v>63</v>
      </c>
      <c r="AW258" t="s">
        <v>60</v>
      </c>
      <c r="AX258" t="s">
        <v>60</v>
      </c>
      <c r="AY258">
        <v>3</v>
      </c>
      <c r="AZ258" t="s">
        <v>64</v>
      </c>
      <c r="BA258">
        <v>7</v>
      </c>
      <c r="BB258">
        <v>5</v>
      </c>
      <c r="BC258" t="s">
        <v>70</v>
      </c>
    </row>
    <row r="259" spans="1:55" x14ac:dyDescent="0.2">
      <c r="A259" s="3" t="s">
        <v>14</v>
      </c>
      <c r="B259" s="3" t="s">
        <v>3</v>
      </c>
      <c r="C259" s="3">
        <v>-2</v>
      </c>
      <c r="D259" s="3">
        <v>0</v>
      </c>
      <c r="E259" s="3">
        <v>-2</v>
      </c>
      <c r="F259" s="3">
        <v>-1</v>
      </c>
      <c r="G259" s="3">
        <v>-4.5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0.83</v>
      </c>
      <c r="P259">
        <v>1</v>
      </c>
      <c r="Q259">
        <v>0.75</v>
      </c>
      <c r="R259">
        <v>1</v>
      </c>
      <c r="S259">
        <v>1</v>
      </c>
      <c r="T259">
        <f t="shared" si="31"/>
        <v>14</v>
      </c>
      <c r="U259">
        <f t="shared" si="32"/>
        <v>16</v>
      </c>
      <c r="V259">
        <f t="shared" si="33"/>
        <v>14</v>
      </c>
      <c r="W259">
        <f t="shared" si="34"/>
        <v>15</v>
      </c>
      <c r="X259">
        <f t="shared" si="35"/>
        <v>35.5</v>
      </c>
      <c r="Y259" t="str">
        <f>+VLOOKUP(A259,'[1]Tárgy kurzusai'!$A:$C,3,0)</f>
        <v>P:09:50-11:20(C 415)</v>
      </c>
      <c r="Z259">
        <f>+VLOOKUP(A259,'[1]Tárgy kurzusai'!$A:$F,6,0)</f>
        <v>6</v>
      </c>
      <c r="AA259" t="s">
        <v>66</v>
      </c>
      <c r="AB259" t="s">
        <v>71</v>
      </c>
      <c r="AC259" t="s">
        <v>72</v>
      </c>
      <c r="AD259" t="s">
        <v>84</v>
      </c>
      <c r="AE259" t="s">
        <v>69</v>
      </c>
      <c r="AF259" t="s">
        <v>69</v>
      </c>
      <c r="AG259" t="s">
        <v>55</v>
      </c>
      <c r="AH259" t="s">
        <v>55</v>
      </c>
      <c r="AI259" t="s">
        <v>55</v>
      </c>
      <c r="AJ259" t="s">
        <v>57</v>
      </c>
      <c r="AK259" t="s">
        <v>58</v>
      </c>
      <c r="AL259" t="s">
        <v>59</v>
      </c>
      <c r="AM259" t="s">
        <v>60</v>
      </c>
      <c r="AN259">
        <v>7</v>
      </c>
      <c r="AO259">
        <v>33</v>
      </c>
      <c r="AP259">
        <v>5</v>
      </c>
      <c r="AQ259">
        <v>13</v>
      </c>
      <c r="AR259" t="s">
        <v>55</v>
      </c>
      <c r="AS259" t="s">
        <v>55</v>
      </c>
      <c r="AT259" t="s">
        <v>56</v>
      </c>
      <c r="AU259" t="s">
        <v>62</v>
      </c>
      <c r="AV259" t="s">
        <v>63</v>
      </c>
      <c r="AW259" t="s">
        <v>60</v>
      </c>
      <c r="AX259" t="s">
        <v>60</v>
      </c>
      <c r="AY259">
        <v>5</v>
      </c>
      <c r="AZ259" t="s">
        <v>64</v>
      </c>
      <c r="BA259">
        <v>4</v>
      </c>
      <c r="BB259">
        <v>8</v>
      </c>
      <c r="BC259" t="s">
        <v>65</v>
      </c>
    </row>
    <row r="260" spans="1:55" x14ac:dyDescent="0.2">
      <c r="A260" s="3" t="s">
        <v>14</v>
      </c>
      <c r="B260" s="3" t="s">
        <v>3</v>
      </c>
      <c r="C260" s="3">
        <v>-4</v>
      </c>
      <c r="D260" s="3">
        <v>-4</v>
      </c>
      <c r="E260" s="3">
        <v>-0.5</v>
      </c>
      <c r="F260" s="3">
        <v>0</v>
      </c>
      <c r="G260" s="3">
        <v>-8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0.75</v>
      </c>
      <c r="R260">
        <v>1</v>
      </c>
      <c r="S260">
        <v>1</v>
      </c>
      <c r="T260">
        <f t="shared" si="31"/>
        <v>12</v>
      </c>
      <c r="U260">
        <f t="shared" si="32"/>
        <v>12</v>
      </c>
      <c r="V260">
        <f t="shared" si="33"/>
        <v>15.5</v>
      </c>
      <c r="W260">
        <f t="shared" si="34"/>
        <v>16</v>
      </c>
      <c r="X260">
        <f t="shared" si="35"/>
        <v>32</v>
      </c>
      <c r="Y260" t="str">
        <f>+VLOOKUP(A260,'[1]Tárgy kurzusai'!$A:$C,3,0)</f>
        <v>P:09:50-11:20(C 415)</v>
      </c>
      <c r="Z260">
        <f>+VLOOKUP(A260,'[1]Tárgy kurzusai'!$A:$F,6,0)</f>
        <v>6</v>
      </c>
      <c r="AA260" t="s">
        <v>49</v>
      </c>
      <c r="AB260" t="s">
        <v>60</v>
      </c>
      <c r="AC260" t="s">
        <v>51</v>
      </c>
      <c r="AD260" t="s">
        <v>85</v>
      </c>
      <c r="AE260" t="s">
        <v>53</v>
      </c>
      <c r="AF260" t="s">
        <v>53</v>
      </c>
      <c r="AG260" t="s">
        <v>55</v>
      </c>
      <c r="AH260" t="s">
        <v>55</v>
      </c>
      <c r="AI260" t="s">
        <v>55</v>
      </c>
      <c r="AJ260" t="s">
        <v>57</v>
      </c>
      <c r="AK260" t="s">
        <v>58</v>
      </c>
      <c r="AL260" t="s">
        <v>59</v>
      </c>
      <c r="AM260" t="s">
        <v>60</v>
      </c>
      <c r="AN260">
        <v>7</v>
      </c>
      <c r="AO260">
        <v>33</v>
      </c>
      <c r="AP260">
        <v>5</v>
      </c>
      <c r="AQ260">
        <v>12</v>
      </c>
      <c r="AR260" t="s">
        <v>55</v>
      </c>
      <c r="AS260" t="s">
        <v>55</v>
      </c>
      <c r="AT260" t="s">
        <v>55</v>
      </c>
      <c r="AU260" t="s">
        <v>62</v>
      </c>
      <c r="AV260" t="s">
        <v>63</v>
      </c>
      <c r="AW260" t="s">
        <v>60</v>
      </c>
      <c r="AX260" t="s">
        <v>60</v>
      </c>
      <c r="AY260">
        <v>4</v>
      </c>
      <c r="AZ260" t="s">
        <v>78</v>
      </c>
      <c r="BA260">
        <v>6</v>
      </c>
      <c r="BB260">
        <v>9</v>
      </c>
      <c r="BC260" t="s">
        <v>65</v>
      </c>
    </row>
    <row r="261" spans="1:55" x14ac:dyDescent="0.2">
      <c r="A261" s="3" t="s">
        <v>14</v>
      </c>
      <c r="B261" s="3" t="s">
        <v>3</v>
      </c>
      <c r="C261" s="3">
        <v>-4</v>
      </c>
      <c r="D261" s="3">
        <v>-3.5</v>
      </c>
      <c r="E261" s="3">
        <v>-1.5</v>
      </c>
      <c r="F261" s="3">
        <v>-6</v>
      </c>
      <c r="G261" s="3">
        <v>-13.5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0.5</v>
      </c>
      <c r="R261">
        <v>1</v>
      </c>
      <c r="S261">
        <v>1</v>
      </c>
      <c r="T261">
        <f t="shared" si="31"/>
        <v>12</v>
      </c>
      <c r="U261">
        <f t="shared" si="32"/>
        <v>12.5</v>
      </c>
      <c r="V261">
        <f t="shared" si="33"/>
        <v>14.5</v>
      </c>
      <c r="W261">
        <f t="shared" si="34"/>
        <v>10</v>
      </c>
      <c r="X261">
        <f t="shared" si="35"/>
        <v>26.5</v>
      </c>
      <c r="Y261" t="str">
        <f>+VLOOKUP(A261,'[1]Tárgy kurzusai'!$A:$C,3,0)</f>
        <v>P:09:50-11:20(C 415)</v>
      </c>
      <c r="Z261">
        <f>+VLOOKUP(A261,'[1]Tárgy kurzusai'!$A:$F,6,0)</f>
        <v>6</v>
      </c>
      <c r="AA261" t="s">
        <v>66</v>
      </c>
      <c r="AB261" t="s">
        <v>71</v>
      </c>
      <c r="AC261" t="s">
        <v>51</v>
      </c>
      <c r="AD261" t="s">
        <v>68</v>
      </c>
      <c r="AE261" t="s">
        <v>69</v>
      </c>
      <c r="AF261" t="s">
        <v>69</v>
      </c>
      <c r="AG261" t="s">
        <v>55</v>
      </c>
      <c r="AH261" t="s">
        <v>55</v>
      </c>
      <c r="AI261" t="s">
        <v>56</v>
      </c>
      <c r="AJ261" t="s">
        <v>57</v>
      </c>
      <c r="AK261" t="s">
        <v>58</v>
      </c>
      <c r="AL261" t="s">
        <v>59</v>
      </c>
      <c r="AM261" t="s">
        <v>60</v>
      </c>
      <c r="AN261">
        <v>7</v>
      </c>
      <c r="AO261">
        <v>33</v>
      </c>
      <c r="AP261">
        <v>5</v>
      </c>
      <c r="AQ261">
        <v>13</v>
      </c>
      <c r="AR261" t="s">
        <v>55</v>
      </c>
      <c r="AS261" t="s">
        <v>61</v>
      </c>
      <c r="AT261" t="s">
        <v>56</v>
      </c>
      <c r="AU261" t="s">
        <v>62</v>
      </c>
      <c r="AV261" t="s">
        <v>63</v>
      </c>
      <c r="AW261" t="s">
        <v>60</v>
      </c>
      <c r="AX261" t="s">
        <v>60</v>
      </c>
      <c r="AY261" t="s">
        <v>60</v>
      </c>
      <c r="AZ261" t="s">
        <v>64</v>
      </c>
      <c r="BA261">
        <v>4</v>
      </c>
      <c r="BB261">
        <v>5</v>
      </c>
      <c r="BC261" t="s">
        <v>76</v>
      </c>
    </row>
    <row r="262" spans="1:55" x14ac:dyDescent="0.2">
      <c r="A262" s="3" t="s">
        <v>14</v>
      </c>
      <c r="B262" s="3" t="s">
        <v>3</v>
      </c>
      <c r="C262" s="3">
        <v>0</v>
      </c>
      <c r="D262" s="3">
        <v>-2</v>
      </c>
      <c r="E262" s="3">
        <v>-2.5</v>
      </c>
      <c r="F262" s="3">
        <v>0</v>
      </c>
      <c r="G262" s="3">
        <v>-7.5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0.75</v>
      </c>
      <c r="R262">
        <v>1</v>
      </c>
      <c r="S262">
        <v>1</v>
      </c>
      <c r="T262">
        <f t="shared" si="31"/>
        <v>16</v>
      </c>
      <c r="U262">
        <f t="shared" si="32"/>
        <v>14</v>
      </c>
      <c r="V262">
        <f t="shared" si="33"/>
        <v>13.5</v>
      </c>
      <c r="W262">
        <f t="shared" si="34"/>
        <v>16</v>
      </c>
      <c r="X262">
        <f t="shared" si="35"/>
        <v>32.5</v>
      </c>
      <c r="Y262" t="str">
        <f>+VLOOKUP(A262,'[1]Tárgy kurzusai'!$A:$C,3,0)</f>
        <v>P:09:50-11:20(C 415)</v>
      </c>
      <c r="Z262">
        <f>+VLOOKUP(A262,'[1]Tárgy kurzusai'!$A:$F,6,0)</f>
        <v>6</v>
      </c>
      <c r="AA262" t="s">
        <v>49</v>
      </c>
      <c r="AB262" t="s">
        <v>71</v>
      </c>
      <c r="AC262" t="s">
        <v>51</v>
      </c>
      <c r="AD262" t="s">
        <v>68</v>
      </c>
      <c r="AE262" t="s">
        <v>69</v>
      </c>
      <c r="AF262" t="s">
        <v>69</v>
      </c>
      <c r="AG262" t="s">
        <v>55</v>
      </c>
      <c r="AH262" t="s">
        <v>55</v>
      </c>
      <c r="AI262" t="s">
        <v>55</v>
      </c>
      <c r="AJ262" t="s">
        <v>57</v>
      </c>
      <c r="AK262" t="s">
        <v>58</v>
      </c>
      <c r="AL262" t="s">
        <v>59</v>
      </c>
      <c r="AM262" t="s">
        <v>60</v>
      </c>
      <c r="AN262">
        <v>7</v>
      </c>
      <c r="AO262">
        <v>33</v>
      </c>
      <c r="AP262">
        <v>6</v>
      </c>
      <c r="AQ262">
        <v>12</v>
      </c>
      <c r="AR262" t="s">
        <v>55</v>
      </c>
      <c r="AS262" t="s">
        <v>55</v>
      </c>
      <c r="AT262" t="s">
        <v>56</v>
      </c>
      <c r="AU262" t="s">
        <v>62</v>
      </c>
      <c r="AV262" t="s">
        <v>63</v>
      </c>
      <c r="AW262" t="s">
        <v>60</v>
      </c>
      <c r="AX262" t="s">
        <v>60</v>
      </c>
      <c r="AY262">
        <v>4</v>
      </c>
      <c r="AZ262" t="s">
        <v>64</v>
      </c>
      <c r="BA262">
        <v>7</v>
      </c>
      <c r="BB262">
        <v>9</v>
      </c>
      <c r="BC262" t="s">
        <v>70</v>
      </c>
    </row>
    <row r="263" spans="1:55" x14ac:dyDescent="0.2">
      <c r="A263" s="3" t="s">
        <v>14</v>
      </c>
      <c r="B263" s="3" t="s">
        <v>3</v>
      </c>
      <c r="C263" s="3">
        <v>-5</v>
      </c>
      <c r="D263" s="3">
        <v>-8</v>
      </c>
      <c r="E263" s="3">
        <v>-6.5</v>
      </c>
      <c r="F263" s="3">
        <v>-5.5</v>
      </c>
      <c r="G263" s="3">
        <v>-7.5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0.83</v>
      </c>
      <c r="P263">
        <v>1</v>
      </c>
      <c r="Q263">
        <v>0.5</v>
      </c>
      <c r="R263">
        <v>1</v>
      </c>
      <c r="S263">
        <v>1</v>
      </c>
      <c r="T263">
        <f t="shared" si="31"/>
        <v>11</v>
      </c>
      <c r="U263">
        <f t="shared" si="32"/>
        <v>8</v>
      </c>
      <c r="V263">
        <f t="shared" si="33"/>
        <v>9.5</v>
      </c>
      <c r="W263">
        <f t="shared" si="34"/>
        <v>10.5</v>
      </c>
      <c r="X263">
        <f t="shared" si="35"/>
        <v>32.5</v>
      </c>
      <c r="Y263" t="str">
        <f>+VLOOKUP(A263,'[1]Tárgy kurzusai'!$A:$C,3,0)</f>
        <v>P:09:50-11:20(C 415)</v>
      </c>
      <c r="Z263">
        <f>+VLOOKUP(A263,'[1]Tárgy kurzusai'!$A:$F,6,0)</f>
        <v>6</v>
      </c>
      <c r="AA263" t="s">
        <v>49</v>
      </c>
      <c r="AB263" t="s">
        <v>50</v>
      </c>
      <c r="AC263" t="s">
        <v>75</v>
      </c>
      <c r="AD263" t="s">
        <v>84</v>
      </c>
      <c r="AE263" t="s">
        <v>53</v>
      </c>
      <c r="AF263" t="s">
        <v>53</v>
      </c>
      <c r="AG263" t="s">
        <v>56</v>
      </c>
      <c r="AH263" t="s">
        <v>55</v>
      </c>
      <c r="AI263" t="s">
        <v>55</v>
      </c>
      <c r="AJ263" t="s">
        <v>57</v>
      </c>
      <c r="AK263" t="s">
        <v>58</v>
      </c>
      <c r="AL263" t="s">
        <v>59</v>
      </c>
      <c r="AM263" t="s">
        <v>60</v>
      </c>
      <c r="AN263">
        <v>6</v>
      </c>
      <c r="AO263">
        <v>30</v>
      </c>
      <c r="AP263">
        <v>5</v>
      </c>
      <c r="AQ263">
        <v>12</v>
      </c>
      <c r="AR263" t="s">
        <v>55</v>
      </c>
      <c r="AS263" t="s">
        <v>61</v>
      </c>
      <c r="AT263" t="s">
        <v>55</v>
      </c>
      <c r="AU263" t="s">
        <v>62</v>
      </c>
      <c r="AV263" t="s">
        <v>63</v>
      </c>
      <c r="AW263" t="s">
        <v>60</v>
      </c>
      <c r="AX263" t="s">
        <v>60</v>
      </c>
      <c r="AY263">
        <v>2</v>
      </c>
      <c r="AZ263" t="s">
        <v>64</v>
      </c>
      <c r="BA263">
        <v>5</v>
      </c>
      <c r="BB263">
        <v>10</v>
      </c>
      <c r="BC263" t="s">
        <v>70</v>
      </c>
    </row>
    <row r="264" spans="1:55" x14ac:dyDescent="0.2">
      <c r="A264" s="3" t="s">
        <v>14</v>
      </c>
      <c r="B264" s="3" t="s">
        <v>3</v>
      </c>
      <c r="C264" s="3">
        <v>-7.5</v>
      </c>
      <c r="D264" s="3">
        <v>-9</v>
      </c>
      <c r="E264" s="3">
        <v>-4.5</v>
      </c>
      <c r="F264" s="3">
        <v>-8</v>
      </c>
      <c r="G264" s="3">
        <v>-16.5</v>
      </c>
      <c r="H264">
        <v>0.75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0.33</v>
      </c>
      <c r="P264">
        <v>1</v>
      </c>
      <c r="Q264">
        <v>0.75</v>
      </c>
      <c r="R264">
        <v>1</v>
      </c>
      <c r="S264">
        <v>1</v>
      </c>
      <c r="T264">
        <f t="shared" si="31"/>
        <v>8.5</v>
      </c>
      <c r="U264">
        <f t="shared" si="32"/>
        <v>7</v>
      </c>
      <c r="V264">
        <f t="shared" si="33"/>
        <v>11.5</v>
      </c>
      <c r="W264">
        <f t="shared" si="34"/>
        <v>8</v>
      </c>
      <c r="X264">
        <f t="shared" si="35"/>
        <v>23.5</v>
      </c>
      <c r="Y264" t="str">
        <f>+VLOOKUP(A264,'[1]Tárgy kurzusai'!$A:$C,3,0)</f>
        <v>P:09:50-11:20(C 415)</v>
      </c>
      <c r="Z264">
        <f>+VLOOKUP(A264,'[1]Tárgy kurzusai'!$A:$F,6,0)</f>
        <v>6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</row>
    <row r="265" spans="1:55" x14ac:dyDescent="0.2">
      <c r="A265" s="3" t="s">
        <v>14</v>
      </c>
      <c r="B265" s="3" t="s">
        <v>3</v>
      </c>
      <c r="C265" s="3">
        <v>-5.5</v>
      </c>
      <c r="D265" s="3">
        <v>-6</v>
      </c>
      <c r="E265" s="19">
        <v>-16</v>
      </c>
      <c r="F265" s="19">
        <v>-16</v>
      </c>
      <c r="G265" s="3" t="e">
        <v>#N/A</v>
      </c>
      <c r="H265">
        <v>0.75</v>
      </c>
      <c r="I265">
        <v>0.75</v>
      </c>
      <c r="J265">
        <v>1</v>
      </c>
      <c r="K265">
        <v>0</v>
      </c>
      <c r="L265">
        <v>0.5</v>
      </c>
      <c r="M265">
        <v>0.25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f t="shared" si="31"/>
        <v>10.5</v>
      </c>
      <c r="U265">
        <f t="shared" si="32"/>
        <v>10</v>
      </c>
      <c r="V265">
        <f t="shared" si="33"/>
        <v>0</v>
      </c>
      <c r="W265">
        <f t="shared" si="34"/>
        <v>0</v>
      </c>
      <c r="X265" t="e">
        <f t="shared" si="35"/>
        <v>#N/A</v>
      </c>
      <c r="Y265" t="str">
        <f>+VLOOKUP(A265,'[1]Tárgy kurzusai'!$A:$C,3,0)</f>
        <v>P:09:50-11:20(C 415)</v>
      </c>
      <c r="Z265">
        <f>+VLOOKUP(A265,'[1]Tárgy kurzusai'!$A:$F,6,0)</f>
        <v>6</v>
      </c>
      <c r="AA265" t="s">
        <v>66</v>
      </c>
      <c r="AB265" t="s">
        <v>71</v>
      </c>
      <c r="AC265" t="s">
        <v>74</v>
      </c>
      <c r="AD265" t="s">
        <v>60</v>
      </c>
      <c r="AE265" t="s">
        <v>69</v>
      </c>
      <c r="AF265" t="s">
        <v>54</v>
      </c>
      <c r="AG265" t="s">
        <v>55</v>
      </c>
      <c r="AH265" t="s">
        <v>55</v>
      </c>
      <c r="AI265" t="s">
        <v>55</v>
      </c>
      <c r="AJ265" t="s">
        <v>57</v>
      </c>
      <c r="AK265" t="s">
        <v>79</v>
      </c>
      <c r="AL265" t="s">
        <v>59</v>
      </c>
      <c r="AM265" t="s">
        <v>60</v>
      </c>
      <c r="AN265">
        <v>8</v>
      </c>
      <c r="AO265">
        <v>34</v>
      </c>
      <c r="AP265">
        <v>5</v>
      </c>
      <c r="AQ265">
        <v>6</v>
      </c>
      <c r="AR265" t="s">
        <v>55</v>
      </c>
      <c r="AS265" t="s">
        <v>61</v>
      </c>
      <c r="AT265" t="s">
        <v>55</v>
      </c>
      <c r="AU265" t="s">
        <v>62</v>
      </c>
      <c r="AV265" t="s">
        <v>63</v>
      </c>
      <c r="AW265" t="s">
        <v>60</v>
      </c>
      <c r="AX265" t="s">
        <v>60</v>
      </c>
      <c r="AY265">
        <v>4</v>
      </c>
      <c r="AZ265" t="s">
        <v>64</v>
      </c>
      <c r="BA265">
        <v>7</v>
      </c>
      <c r="BB265">
        <v>7</v>
      </c>
      <c r="BC265" t="s">
        <v>82</v>
      </c>
    </row>
    <row r="266" spans="1:55" x14ac:dyDescent="0.2">
      <c r="A266" s="3" t="s">
        <v>14</v>
      </c>
      <c r="B266" s="3" t="s">
        <v>3</v>
      </c>
      <c r="C266" s="3">
        <v>-11</v>
      </c>
      <c r="D266" s="3">
        <v>-7.5</v>
      </c>
      <c r="E266" s="3">
        <v>-2</v>
      </c>
      <c r="F266" s="3">
        <v>0</v>
      </c>
      <c r="G266" s="3">
        <v>-6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f t="shared" si="31"/>
        <v>5</v>
      </c>
      <c r="U266">
        <f t="shared" si="32"/>
        <v>8.5</v>
      </c>
      <c r="V266">
        <f t="shared" si="33"/>
        <v>14</v>
      </c>
      <c r="W266">
        <f t="shared" si="34"/>
        <v>16</v>
      </c>
      <c r="X266">
        <f t="shared" si="35"/>
        <v>34</v>
      </c>
      <c r="Y266" t="str">
        <f>+VLOOKUP(A266,'[1]Tárgy kurzusai'!$A:$C,3,0)</f>
        <v>P:09:50-11:20(C 415)</v>
      </c>
      <c r="Z266">
        <f>+VLOOKUP(A266,'[1]Tárgy kurzusai'!$A:$F,6,0)</f>
        <v>6</v>
      </c>
      <c r="AA266" t="s">
        <v>66</v>
      </c>
      <c r="AB266" t="s">
        <v>80</v>
      </c>
      <c r="AC266" t="s">
        <v>74</v>
      </c>
      <c r="AD266" t="s">
        <v>60</v>
      </c>
      <c r="AE266" t="s">
        <v>69</v>
      </c>
      <c r="AF266" t="s">
        <v>69</v>
      </c>
      <c r="AG266" t="s">
        <v>55</v>
      </c>
      <c r="AH266" t="s">
        <v>55</v>
      </c>
      <c r="AI266" t="s">
        <v>55</v>
      </c>
      <c r="AJ266" t="s">
        <v>57</v>
      </c>
      <c r="AK266" t="s">
        <v>58</v>
      </c>
      <c r="AL266" t="s">
        <v>59</v>
      </c>
      <c r="AM266" t="s">
        <v>60</v>
      </c>
      <c r="AN266">
        <v>6</v>
      </c>
      <c r="AO266">
        <v>30</v>
      </c>
      <c r="AP266">
        <v>5</v>
      </c>
      <c r="AQ266">
        <v>11</v>
      </c>
      <c r="AR266" t="s">
        <v>55</v>
      </c>
      <c r="AS266" t="s">
        <v>55</v>
      </c>
      <c r="AT266" t="s">
        <v>56</v>
      </c>
      <c r="AU266" t="s">
        <v>62</v>
      </c>
      <c r="AV266" t="s">
        <v>63</v>
      </c>
      <c r="AW266" t="s">
        <v>60</v>
      </c>
      <c r="AX266" t="s">
        <v>60</v>
      </c>
      <c r="AY266">
        <v>4</v>
      </c>
      <c r="AZ266" t="s">
        <v>78</v>
      </c>
      <c r="BA266">
        <v>10</v>
      </c>
      <c r="BB266">
        <v>6</v>
      </c>
      <c r="BC266" t="s">
        <v>82</v>
      </c>
    </row>
    <row r="267" spans="1:55" x14ac:dyDescent="0.2">
      <c r="A267" s="3" t="s">
        <v>14</v>
      </c>
      <c r="B267" s="3" t="s">
        <v>3</v>
      </c>
      <c r="C267" s="3">
        <v>-6</v>
      </c>
      <c r="D267" s="3">
        <v>-6</v>
      </c>
      <c r="E267" s="3">
        <v>-1</v>
      </c>
      <c r="F267" s="3">
        <v>-9</v>
      </c>
      <c r="G267" s="3">
        <v>-6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0</v>
      </c>
      <c r="P267">
        <v>1</v>
      </c>
      <c r="Q267">
        <v>0.75</v>
      </c>
      <c r="R267">
        <v>1</v>
      </c>
      <c r="S267">
        <v>1</v>
      </c>
      <c r="T267">
        <f t="shared" si="31"/>
        <v>10</v>
      </c>
      <c r="U267">
        <f t="shared" si="32"/>
        <v>10</v>
      </c>
      <c r="V267">
        <f t="shared" si="33"/>
        <v>15</v>
      </c>
      <c r="W267">
        <f t="shared" si="34"/>
        <v>7</v>
      </c>
      <c r="X267">
        <f t="shared" si="35"/>
        <v>34</v>
      </c>
      <c r="Y267" t="str">
        <f>+VLOOKUP(A267,'[1]Tárgy kurzusai'!$A:$C,3,0)</f>
        <v>P:09:50-11:20(C 415)</v>
      </c>
      <c r="Z267">
        <f>+VLOOKUP(A267,'[1]Tárgy kurzusai'!$A:$F,6,0)</f>
        <v>6</v>
      </c>
      <c r="AA267" t="s">
        <v>66</v>
      </c>
      <c r="AB267" t="s">
        <v>71</v>
      </c>
      <c r="AC267" t="s">
        <v>74</v>
      </c>
      <c r="AD267" t="s">
        <v>60</v>
      </c>
      <c r="AE267" t="s">
        <v>69</v>
      </c>
      <c r="AF267" t="s">
        <v>69</v>
      </c>
      <c r="AG267" t="s">
        <v>55</v>
      </c>
      <c r="AH267" t="s">
        <v>55</v>
      </c>
      <c r="AI267" t="s">
        <v>55</v>
      </c>
      <c r="AJ267" t="s">
        <v>57</v>
      </c>
      <c r="AK267" t="s">
        <v>58</v>
      </c>
      <c r="AL267" t="s">
        <v>59</v>
      </c>
      <c r="AM267" t="s">
        <v>60</v>
      </c>
      <c r="AN267">
        <v>6</v>
      </c>
      <c r="AO267">
        <v>30</v>
      </c>
      <c r="AP267">
        <v>5</v>
      </c>
      <c r="AQ267">
        <v>12</v>
      </c>
      <c r="AR267" t="s">
        <v>55</v>
      </c>
      <c r="AS267" t="s">
        <v>61</v>
      </c>
      <c r="AT267" t="s">
        <v>56</v>
      </c>
      <c r="AU267" t="s">
        <v>62</v>
      </c>
      <c r="AV267" t="s">
        <v>63</v>
      </c>
      <c r="AW267" t="s">
        <v>60</v>
      </c>
      <c r="AX267" t="s">
        <v>60</v>
      </c>
      <c r="AY267">
        <v>4</v>
      </c>
      <c r="AZ267" t="s">
        <v>78</v>
      </c>
      <c r="BA267">
        <v>7</v>
      </c>
      <c r="BB267">
        <v>4</v>
      </c>
      <c r="BC267" t="s">
        <v>65</v>
      </c>
    </row>
    <row r="268" spans="1:55" x14ac:dyDescent="0.2">
      <c r="A268" s="3" t="s">
        <v>14</v>
      </c>
      <c r="B268" s="3" t="s">
        <v>3</v>
      </c>
      <c r="C268" s="19">
        <v>-16</v>
      </c>
      <c r="D268" s="19">
        <v>-16</v>
      </c>
      <c r="E268" s="3">
        <v>-6</v>
      </c>
      <c r="F268" s="3">
        <v>-10</v>
      </c>
      <c r="G268" s="3">
        <v>0</v>
      </c>
      <c r="H268">
        <v>1</v>
      </c>
      <c r="I268">
        <v>1</v>
      </c>
      <c r="J268">
        <v>1</v>
      </c>
      <c r="K268">
        <v>1</v>
      </c>
      <c r="L268">
        <v>0.5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1</v>
      </c>
      <c r="S268">
        <v>1</v>
      </c>
      <c r="T268">
        <f t="shared" si="31"/>
        <v>0</v>
      </c>
      <c r="U268">
        <f t="shared" si="32"/>
        <v>0</v>
      </c>
      <c r="V268">
        <f t="shared" si="33"/>
        <v>10</v>
      </c>
      <c r="W268">
        <f t="shared" si="34"/>
        <v>6</v>
      </c>
      <c r="X268">
        <f t="shared" si="35"/>
        <v>40</v>
      </c>
      <c r="Y268" t="str">
        <f>+VLOOKUP(A268,'[1]Tárgy kurzusai'!$A:$C,3,0)</f>
        <v>P:09:50-11:20(C 415)</v>
      </c>
      <c r="Z268">
        <f>+VLOOKUP(A268,'[1]Tárgy kurzusai'!$A:$F,6,0)</f>
        <v>6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</row>
    <row r="269" spans="1:55" x14ac:dyDescent="0.2">
      <c r="A269" s="3" t="s">
        <v>14</v>
      </c>
      <c r="B269" s="3" t="s">
        <v>3</v>
      </c>
      <c r="C269" s="3">
        <v>-10.5</v>
      </c>
      <c r="D269" s="3">
        <v>-5.5</v>
      </c>
      <c r="E269" s="3">
        <v>-10.5</v>
      </c>
      <c r="F269" s="3">
        <v>-5</v>
      </c>
      <c r="G269" s="3">
        <v>-16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f t="shared" si="31"/>
        <v>5.5</v>
      </c>
      <c r="U269">
        <f t="shared" si="32"/>
        <v>10.5</v>
      </c>
      <c r="V269">
        <f t="shared" si="33"/>
        <v>5.5</v>
      </c>
      <c r="W269">
        <f t="shared" si="34"/>
        <v>11</v>
      </c>
      <c r="X269">
        <f t="shared" si="35"/>
        <v>24</v>
      </c>
      <c r="Y269" t="str">
        <f>+VLOOKUP(A269,'[1]Tárgy kurzusai'!$A:$C,3,0)</f>
        <v>P:09:50-11:20(C 415)</v>
      </c>
      <c r="Z269">
        <f>+VLOOKUP(A269,'[1]Tárgy kurzusai'!$A:$F,6,0)</f>
        <v>6</v>
      </c>
      <c r="AA269" t="s">
        <v>49</v>
      </c>
      <c r="AB269" t="s">
        <v>50</v>
      </c>
      <c r="AC269" t="s">
        <v>75</v>
      </c>
      <c r="AD269" t="s">
        <v>100</v>
      </c>
      <c r="AE269" t="s">
        <v>53</v>
      </c>
      <c r="AF269" t="s">
        <v>54</v>
      </c>
      <c r="AG269" t="s">
        <v>55</v>
      </c>
      <c r="AH269" t="s">
        <v>55</v>
      </c>
      <c r="AI269" t="s">
        <v>56</v>
      </c>
      <c r="AJ269" t="s">
        <v>57</v>
      </c>
      <c r="AK269" t="s">
        <v>58</v>
      </c>
      <c r="AL269" t="s">
        <v>59</v>
      </c>
      <c r="AM269" t="s">
        <v>60</v>
      </c>
      <c r="AN269">
        <v>8</v>
      </c>
      <c r="AO269">
        <v>37</v>
      </c>
      <c r="AP269">
        <v>6</v>
      </c>
      <c r="AQ269">
        <v>5</v>
      </c>
      <c r="AR269" t="s">
        <v>55</v>
      </c>
      <c r="AS269" t="s">
        <v>61</v>
      </c>
      <c r="AT269" t="s">
        <v>56</v>
      </c>
      <c r="AU269" t="s">
        <v>62</v>
      </c>
      <c r="AV269" t="s">
        <v>63</v>
      </c>
      <c r="AW269" t="s">
        <v>60</v>
      </c>
      <c r="AX269" t="s">
        <v>60</v>
      </c>
      <c r="AY269">
        <v>4</v>
      </c>
      <c r="AZ269" t="s">
        <v>64</v>
      </c>
      <c r="BA269">
        <v>7</v>
      </c>
      <c r="BB269">
        <v>8</v>
      </c>
      <c r="BC269" t="s">
        <v>70</v>
      </c>
    </row>
    <row r="270" spans="1:55" x14ac:dyDescent="0.2">
      <c r="A270" s="3" t="s">
        <v>14</v>
      </c>
      <c r="B270" s="3" t="s">
        <v>3</v>
      </c>
      <c r="C270" s="3">
        <v>-4.5</v>
      </c>
      <c r="D270" s="3">
        <v>-9</v>
      </c>
      <c r="E270" s="3">
        <v>-4</v>
      </c>
      <c r="F270" s="3">
        <v>-3.5</v>
      </c>
      <c r="G270" s="3">
        <v>-21.5</v>
      </c>
      <c r="H270">
        <v>1</v>
      </c>
      <c r="I270">
        <v>1</v>
      </c>
      <c r="J270">
        <v>1</v>
      </c>
      <c r="K270">
        <v>1</v>
      </c>
      <c r="L270">
        <v>0.5</v>
      </c>
      <c r="M270">
        <v>1</v>
      </c>
      <c r="N270">
        <v>1</v>
      </c>
      <c r="O270">
        <v>0.67</v>
      </c>
      <c r="P270">
        <v>1</v>
      </c>
      <c r="Q270">
        <v>0.5</v>
      </c>
      <c r="R270">
        <v>1</v>
      </c>
      <c r="S270">
        <v>1</v>
      </c>
      <c r="T270">
        <f t="shared" si="31"/>
        <v>11.5</v>
      </c>
      <c r="U270">
        <f t="shared" si="32"/>
        <v>7</v>
      </c>
      <c r="V270">
        <f t="shared" si="33"/>
        <v>12</v>
      </c>
      <c r="W270">
        <f t="shared" si="34"/>
        <v>12.5</v>
      </c>
      <c r="X270">
        <f t="shared" si="35"/>
        <v>18.5</v>
      </c>
      <c r="Y270" t="str">
        <f>+VLOOKUP(A270,'[1]Tárgy kurzusai'!$A:$C,3,0)</f>
        <v>P:09:50-11:20(C 415)</v>
      </c>
      <c r="Z270">
        <f>+VLOOKUP(A270,'[1]Tárgy kurzusai'!$A:$F,6,0)</f>
        <v>6</v>
      </c>
      <c r="AA270" t="s">
        <v>49</v>
      </c>
      <c r="AB270" t="s">
        <v>50</v>
      </c>
      <c r="AC270" t="s">
        <v>72</v>
      </c>
      <c r="AD270" t="s">
        <v>92</v>
      </c>
      <c r="AE270" t="s">
        <v>53</v>
      </c>
      <c r="AF270" t="s">
        <v>69</v>
      </c>
      <c r="AG270" t="s">
        <v>55</v>
      </c>
      <c r="AH270" t="s">
        <v>55</v>
      </c>
      <c r="AI270" t="s">
        <v>55</v>
      </c>
      <c r="AJ270" t="s">
        <v>57</v>
      </c>
      <c r="AK270" t="s">
        <v>58</v>
      </c>
      <c r="AL270" t="s">
        <v>59</v>
      </c>
      <c r="AM270" t="s">
        <v>60</v>
      </c>
      <c r="AN270">
        <v>8</v>
      </c>
      <c r="AO270">
        <v>37</v>
      </c>
      <c r="AP270">
        <v>5</v>
      </c>
      <c r="AQ270">
        <v>16</v>
      </c>
      <c r="AR270" t="s">
        <v>55</v>
      </c>
      <c r="AS270" t="s">
        <v>61</v>
      </c>
      <c r="AT270" t="s">
        <v>55</v>
      </c>
      <c r="AU270" t="s">
        <v>62</v>
      </c>
      <c r="AV270" t="s">
        <v>63</v>
      </c>
      <c r="AW270" t="s">
        <v>60</v>
      </c>
      <c r="AX270" t="s">
        <v>60</v>
      </c>
      <c r="AY270">
        <v>4</v>
      </c>
      <c r="AZ270" t="s">
        <v>64</v>
      </c>
      <c r="BA270">
        <v>6</v>
      </c>
      <c r="BB270">
        <v>7</v>
      </c>
      <c r="BC270" t="s">
        <v>70</v>
      </c>
    </row>
    <row r="271" spans="1:55" x14ac:dyDescent="0.2">
      <c r="A271" s="3" t="s">
        <v>14</v>
      </c>
      <c r="B271" s="3" t="s">
        <v>3</v>
      </c>
      <c r="C271" s="3">
        <v>-13</v>
      </c>
      <c r="D271" s="3">
        <v>-7.5</v>
      </c>
      <c r="E271" s="3">
        <v>-4</v>
      </c>
      <c r="F271" s="3">
        <v>-1</v>
      </c>
      <c r="G271" s="3">
        <v>-10.5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1</v>
      </c>
      <c r="Q271">
        <v>0.5</v>
      </c>
      <c r="R271">
        <v>1</v>
      </c>
      <c r="S271">
        <v>1</v>
      </c>
      <c r="T271">
        <f t="shared" si="31"/>
        <v>3</v>
      </c>
      <c r="U271">
        <f t="shared" si="32"/>
        <v>8.5</v>
      </c>
      <c r="V271">
        <f t="shared" si="33"/>
        <v>12</v>
      </c>
      <c r="W271">
        <f t="shared" si="34"/>
        <v>15</v>
      </c>
      <c r="X271">
        <f t="shared" si="35"/>
        <v>29.5</v>
      </c>
      <c r="Y271" t="str">
        <f>+VLOOKUP(A271,'[1]Tárgy kurzusai'!$A:$C,3,0)</f>
        <v>P:09:50-11:20(C 415)</v>
      </c>
      <c r="Z271">
        <f>+VLOOKUP(A271,'[1]Tárgy kurzusai'!$A:$F,6,0)</f>
        <v>6</v>
      </c>
      <c r="AA271" t="s">
        <v>66</v>
      </c>
      <c r="AB271" t="s">
        <v>71</v>
      </c>
      <c r="AC271" t="s">
        <v>51</v>
      </c>
      <c r="AD271" t="s">
        <v>73</v>
      </c>
      <c r="AE271" t="s">
        <v>69</v>
      </c>
      <c r="AF271" t="s">
        <v>69</v>
      </c>
      <c r="AG271" t="s">
        <v>55</v>
      </c>
      <c r="AH271" t="s">
        <v>55</v>
      </c>
      <c r="AI271" t="s">
        <v>55</v>
      </c>
      <c r="AJ271" t="s">
        <v>57</v>
      </c>
      <c r="AK271" t="s">
        <v>58</v>
      </c>
      <c r="AL271" t="s">
        <v>59</v>
      </c>
      <c r="AM271" t="s">
        <v>60</v>
      </c>
      <c r="AN271">
        <v>7</v>
      </c>
      <c r="AO271">
        <v>33</v>
      </c>
      <c r="AP271">
        <v>5</v>
      </c>
      <c r="AQ271">
        <v>13</v>
      </c>
      <c r="AR271" t="s">
        <v>55</v>
      </c>
      <c r="AS271" t="s">
        <v>61</v>
      </c>
      <c r="AT271" t="s">
        <v>56</v>
      </c>
      <c r="AU271" t="s">
        <v>62</v>
      </c>
      <c r="AV271" t="s">
        <v>63</v>
      </c>
      <c r="AW271" t="s">
        <v>60</v>
      </c>
      <c r="AX271" t="s">
        <v>60</v>
      </c>
      <c r="AY271">
        <v>5</v>
      </c>
      <c r="AZ271" t="s">
        <v>78</v>
      </c>
      <c r="BA271">
        <v>8</v>
      </c>
      <c r="BB271">
        <v>8</v>
      </c>
      <c r="BC271" t="s">
        <v>65</v>
      </c>
    </row>
    <row r="272" spans="1:55" x14ac:dyDescent="0.2">
      <c r="A272" s="3" t="s">
        <v>14</v>
      </c>
      <c r="B272" s="3" t="s">
        <v>3</v>
      </c>
      <c r="C272" s="3">
        <v>-5.5</v>
      </c>
      <c r="D272" s="3">
        <v>-10</v>
      </c>
      <c r="E272" s="3">
        <v>-1</v>
      </c>
      <c r="F272" s="3">
        <v>-4</v>
      </c>
      <c r="G272" s="3">
        <v>-13.5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0.75</v>
      </c>
      <c r="R272">
        <v>1</v>
      </c>
      <c r="S272">
        <v>1</v>
      </c>
      <c r="T272">
        <f t="shared" si="31"/>
        <v>10.5</v>
      </c>
      <c r="U272">
        <f t="shared" si="32"/>
        <v>6</v>
      </c>
      <c r="V272">
        <f t="shared" si="33"/>
        <v>15</v>
      </c>
      <c r="W272">
        <f t="shared" si="34"/>
        <v>12</v>
      </c>
      <c r="X272">
        <f t="shared" si="35"/>
        <v>26.5</v>
      </c>
      <c r="Y272" t="str">
        <f>+VLOOKUP(A272,'[1]Tárgy kurzusai'!$A:$C,3,0)</f>
        <v>P:09:50-11:20(C 415)</v>
      </c>
      <c r="Z272">
        <f>+VLOOKUP(A272,'[1]Tárgy kurzusai'!$A:$F,6,0)</f>
        <v>6</v>
      </c>
      <c r="AA272" t="s">
        <v>49</v>
      </c>
      <c r="AB272" t="s">
        <v>71</v>
      </c>
      <c r="AC272" t="s">
        <v>72</v>
      </c>
      <c r="AD272" t="s">
        <v>73</v>
      </c>
      <c r="AE272" t="s">
        <v>53</v>
      </c>
      <c r="AF272" t="s">
        <v>53</v>
      </c>
      <c r="AG272" t="s">
        <v>55</v>
      </c>
      <c r="AH272" t="s">
        <v>55</v>
      </c>
      <c r="AI272" t="s">
        <v>55</v>
      </c>
      <c r="AJ272" t="s">
        <v>57</v>
      </c>
      <c r="AK272" t="s">
        <v>58</v>
      </c>
      <c r="AL272" t="s">
        <v>59</v>
      </c>
      <c r="AM272" t="s">
        <v>60</v>
      </c>
      <c r="AN272">
        <v>6</v>
      </c>
      <c r="AO272">
        <v>34</v>
      </c>
      <c r="AP272">
        <v>5</v>
      </c>
      <c r="AQ272">
        <v>14</v>
      </c>
      <c r="AR272" t="s">
        <v>55</v>
      </c>
      <c r="AS272" t="s">
        <v>61</v>
      </c>
      <c r="AT272" t="s">
        <v>55</v>
      </c>
      <c r="AU272" t="s">
        <v>62</v>
      </c>
      <c r="AV272" t="s">
        <v>63</v>
      </c>
      <c r="AW272" t="s">
        <v>60</v>
      </c>
      <c r="AX272" t="s">
        <v>60</v>
      </c>
      <c r="AY272">
        <v>5</v>
      </c>
      <c r="AZ272" t="s">
        <v>64</v>
      </c>
      <c r="BA272">
        <v>8</v>
      </c>
      <c r="BB272">
        <v>10</v>
      </c>
      <c r="BC272" t="s">
        <v>65</v>
      </c>
    </row>
    <row r="273" spans="1:55" x14ac:dyDescent="0.2">
      <c r="A273" s="3" t="s">
        <v>14</v>
      </c>
      <c r="B273" s="3" t="s">
        <v>3</v>
      </c>
      <c r="C273" s="3">
        <v>-6.5</v>
      </c>
      <c r="D273" s="3">
        <v>-0.5</v>
      </c>
      <c r="E273" s="19">
        <v>-16</v>
      </c>
      <c r="F273" s="3">
        <v>0</v>
      </c>
      <c r="G273" s="3">
        <v>-12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0.5</v>
      </c>
      <c r="R273">
        <v>1</v>
      </c>
      <c r="S273">
        <v>1</v>
      </c>
      <c r="T273">
        <f t="shared" si="31"/>
        <v>9.5</v>
      </c>
      <c r="U273">
        <f t="shared" si="32"/>
        <v>15.5</v>
      </c>
      <c r="V273">
        <f t="shared" si="33"/>
        <v>0</v>
      </c>
      <c r="W273">
        <f t="shared" si="34"/>
        <v>16</v>
      </c>
      <c r="X273">
        <f t="shared" si="35"/>
        <v>28</v>
      </c>
      <c r="Y273" t="str">
        <f>+VLOOKUP(A273,'[1]Tárgy kurzusai'!$A:$C,3,0)</f>
        <v>P:09:50-11:20(C 415)</v>
      </c>
      <c r="Z273">
        <f>+VLOOKUP(A273,'[1]Tárgy kurzusai'!$A:$F,6,0)</f>
        <v>6</v>
      </c>
      <c r="AA273" t="s">
        <v>49</v>
      </c>
      <c r="AB273" t="s">
        <v>50</v>
      </c>
      <c r="AC273" t="s">
        <v>72</v>
      </c>
      <c r="AD273" t="s">
        <v>100</v>
      </c>
      <c r="AE273" t="s">
        <v>69</v>
      </c>
      <c r="AF273" t="s">
        <v>69</v>
      </c>
      <c r="AG273" t="s">
        <v>55</v>
      </c>
      <c r="AH273" t="s">
        <v>55</v>
      </c>
      <c r="AI273" t="s">
        <v>55</v>
      </c>
      <c r="AJ273" t="s">
        <v>57</v>
      </c>
      <c r="AK273" t="s">
        <v>79</v>
      </c>
      <c r="AL273" t="s">
        <v>59</v>
      </c>
      <c r="AM273" t="s">
        <v>60</v>
      </c>
      <c r="AN273">
        <v>6</v>
      </c>
      <c r="AO273">
        <v>30</v>
      </c>
      <c r="AP273">
        <v>5</v>
      </c>
      <c r="AQ273">
        <v>11</v>
      </c>
      <c r="AR273" t="s">
        <v>55</v>
      </c>
      <c r="AS273" t="s">
        <v>55</v>
      </c>
      <c r="AT273" t="s">
        <v>55</v>
      </c>
      <c r="AU273" t="s">
        <v>62</v>
      </c>
      <c r="AV273" t="s">
        <v>63</v>
      </c>
      <c r="AW273" t="s">
        <v>60</v>
      </c>
      <c r="AX273" t="s">
        <v>60</v>
      </c>
      <c r="AY273">
        <v>5</v>
      </c>
      <c r="AZ273" t="s">
        <v>64</v>
      </c>
      <c r="BA273">
        <v>5</v>
      </c>
      <c r="BB273">
        <v>5</v>
      </c>
      <c r="BC273" t="s">
        <v>65</v>
      </c>
    </row>
    <row r="274" spans="1:55" x14ac:dyDescent="0.2">
      <c r="A274" s="3" t="s">
        <v>14</v>
      </c>
      <c r="B274" s="3" t="s">
        <v>3</v>
      </c>
      <c r="C274" s="3">
        <v>-9</v>
      </c>
      <c r="D274" s="3">
        <v>-1</v>
      </c>
      <c r="E274" s="3">
        <v>-10</v>
      </c>
      <c r="F274" s="19">
        <v>-16</v>
      </c>
      <c r="G274" s="3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0.33</v>
      </c>
      <c r="P274">
        <v>1</v>
      </c>
      <c r="Q274">
        <v>1</v>
      </c>
      <c r="R274">
        <v>0</v>
      </c>
      <c r="S274">
        <v>1</v>
      </c>
      <c r="T274">
        <f t="shared" si="31"/>
        <v>7</v>
      </c>
      <c r="U274">
        <f t="shared" si="32"/>
        <v>15</v>
      </c>
      <c r="V274">
        <f t="shared" si="33"/>
        <v>6</v>
      </c>
      <c r="W274">
        <f t="shared" si="34"/>
        <v>0</v>
      </c>
      <c r="X274">
        <f t="shared" si="35"/>
        <v>40</v>
      </c>
      <c r="Y274" t="str">
        <f>+VLOOKUP(A274,'[1]Tárgy kurzusai'!$A:$C,3,0)</f>
        <v>P:09:50-11:20(C 415)</v>
      </c>
      <c r="Z274">
        <f>+VLOOKUP(A274,'[1]Tárgy kurzusai'!$A:$F,6,0)</f>
        <v>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</row>
    <row r="275" spans="1:55" x14ac:dyDescent="0.2">
      <c r="A275" s="3" t="s">
        <v>14</v>
      </c>
      <c r="B275" s="3" t="s">
        <v>3</v>
      </c>
      <c r="C275" s="3">
        <v>-6</v>
      </c>
      <c r="D275" s="3">
        <v>-1</v>
      </c>
      <c r="E275" s="3">
        <v>-5</v>
      </c>
      <c r="F275" s="3">
        <v>-1</v>
      </c>
      <c r="G275" s="3">
        <v>-6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f t="shared" si="31"/>
        <v>10</v>
      </c>
      <c r="U275">
        <f t="shared" si="32"/>
        <v>15</v>
      </c>
      <c r="V275">
        <f t="shared" si="33"/>
        <v>11</v>
      </c>
      <c r="W275">
        <f t="shared" si="34"/>
        <v>15</v>
      </c>
      <c r="X275">
        <f t="shared" si="35"/>
        <v>34</v>
      </c>
      <c r="Y275" t="str">
        <f>+VLOOKUP(A275,'[1]Tárgy kurzusai'!$A:$C,3,0)</f>
        <v>P:09:50-11:20(C 415)</v>
      </c>
      <c r="Z275">
        <f>+VLOOKUP(A275,'[1]Tárgy kurzusai'!$A:$F,6,0)</f>
        <v>6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</row>
    <row r="276" spans="1:55" x14ac:dyDescent="0.2">
      <c r="A276" s="3" t="s">
        <v>14</v>
      </c>
      <c r="B276" s="3" t="s">
        <v>3</v>
      </c>
      <c r="C276" s="3">
        <v>-7</v>
      </c>
      <c r="D276" s="3">
        <v>-3</v>
      </c>
      <c r="E276" s="3">
        <v>-1</v>
      </c>
      <c r="F276" s="3">
        <v>-1</v>
      </c>
      <c r="G276" s="3">
        <v>-6</v>
      </c>
      <c r="H276">
        <v>1</v>
      </c>
      <c r="I276">
        <v>0.75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f t="shared" si="31"/>
        <v>9</v>
      </c>
      <c r="U276">
        <f t="shared" si="32"/>
        <v>13</v>
      </c>
      <c r="V276">
        <f t="shared" si="33"/>
        <v>15</v>
      </c>
      <c r="W276">
        <f t="shared" si="34"/>
        <v>15</v>
      </c>
      <c r="X276">
        <f t="shared" si="35"/>
        <v>34</v>
      </c>
      <c r="Y276" t="str">
        <f>+VLOOKUP(A276,'[1]Tárgy kurzusai'!$A:$C,3,0)</f>
        <v>P:09:50-11:20(C 415)</v>
      </c>
      <c r="Z276">
        <f>+VLOOKUP(A276,'[1]Tárgy kurzusai'!$A:$F,6,0)</f>
        <v>6</v>
      </c>
      <c r="AA276" t="s">
        <v>49</v>
      </c>
      <c r="AB276" t="s">
        <v>71</v>
      </c>
      <c r="AC276" t="s">
        <v>51</v>
      </c>
      <c r="AD276" t="s">
        <v>68</v>
      </c>
      <c r="AE276" t="s">
        <v>69</v>
      </c>
      <c r="AF276" t="s">
        <v>69</v>
      </c>
      <c r="AG276" t="s">
        <v>56</v>
      </c>
      <c r="AH276" t="s">
        <v>55</v>
      </c>
      <c r="AI276" t="s">
        <v>55</v>
      </c>
      <c r="AJ276" t="s">
        <v>57</v>
      </c>
      <c r="AK276" t="s">
        <v>58</v>
      </c>
      <c r="AL276" t="s">
        <v>59</v>
      </c>
      <c r="AM276" t="s">
        <v>60</v>
      </c>
      <c r="AN276">
        <v>5</v>
      </c>
      <c r="AO276">
        <v>30</v>
      </c>
      <c r="AP276">
        <v>5</v>
      </c>
      <c r="AQ276">
        <v>3</v>
      </c>
      <c r="AR276" t="s">
        <v>55</v>
      </c>
      <c r="AS276" t="s">
        <v>61</v>
      </c>
      <c r="AT276" t="s">
        <v>56</v>
      </c>
      <c r="AU276" t="s">
        <v>62</v>
      </c>
      <c r="AV276" t="s">
        <v>63</v>
      </c>
      <c r="AW276" t="s">
        <v>60</v>
      </c>
      <c r="AX276" t="s">
        <v>60</v>
      </c>
      <c r="AY276">
        <v>4</v>
      </c>
      <c r="AZ276" t="s">
        <v>64</v>
      </c>
      <c r="BA276">
        <v>4</v>
      </c>
      <c r="BB276">
        <v>6</v>
      </c>
      <c r="BC276" t="s">
        <v>70</v>
      </c>
    </row>
    <row r="277" spans="1:55" x14ac:dyDescent="0.2">
      <c r="A277" s="3" t="s">
        <v>14</v>
      </c>
      <c r="B277" s="3" t="s">
        <v>3</v>
      </c>
      <c r="C277" s="3">
        <v>-2</v>
      </c>
      <c r="D277" s="3">
        <v>-1</v>
      </c>
      <c r="E277" s="3">
        <v>-6.5</v>
      </c>
      <c r="F277" s="3">
        <v>0</v>
      </c>
      <c r="G277" s="3">
        <v>-6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0.75</v>
      </c>
      <c r="R277">
        <v>1</v>
      </c>
      <c r="S277">
        <v>1</v>
      </c>
      <c r="T277">
        <f t="shared" si="31"/>
        <v>14</v>
      </c>
      <c r="U277">
        <f t="shared" si="32"/>
        <v>15</v>
      </c>
      <c r="V277">
        <f t="shared" si="33"/>
        <v>9.5</v>
      </c>
      <c r="W277">
        <f t="shared" si="34"/>
        <v>16</v>
      </c>
      <c r="X277">
        <f t="shared" si="35"/>
        <v>34</v>
      </c>
      <c r="Y277" t="str">
        <f>+VLOOKUP(A277,'[1]Tárgy kurzusai'!$A:$C,3,0)</f>
        <v>P:09:50-11:20(C 415)</v>
      </c>
      <c r="Z277">
        <f>+VLOOKUP(A277,'[1]Tárgy kurzusai'!$A:$F,6,0)</f>
        <v>6</v>
      </c>
      <c r="AA277" t="s">
        <v>49</v>
      </c>
      <c r="AB277" t="s">
        <v>71</v>
      </c>
      <c r="AC277" t="s">
        <v>72</v>
      </c>
      <c r="AD277" t="s">
        <v>81</v>
      </c>
      <c r="AE277" t="s">
        <v>69</v>
      </c>
      <c r="AF277" t="s">
        <v>69</v>
      </c>
      <c r="AG277" t="s">
        <v>55</v>
      </c>
      <c r="AH277" t="s">
        <v>55</v>
      </c>
      <c r="AI277" t="s">
        <v>55</v>
      </c>
      <c r="AJ277" t="s">
        <v>57</v>
      </c>
      <c r="AK277" t="s">
        <v>58</v>
      </c>
      <c r="AL277" t="s">
        <v>59</v>
      </c>
      <c r="AM277" t="s">
        <v>60</v>
      </c>
      <c r="AN277">
        <v>7</v>
      </c>
      <c r="AO277">
        <v>33</v>
      </c>
      <c r="AP277">
        <v>5</v>
      </c>
      <c r="AQ277">
        <v>14</v>
      </c>
      <c r="AR277" t="s">
        <v>55</v>
      </c>
      <c r="AS277" t="s">
        <v>55</v>
      </c>
      <c r="AT277" t="s">
        <v>56</v>
      </c>
      <c r="AU277" t="s">
        <v>62</v>
      </c>
      <c r="AV277" t="s">
        <v>63</v>
      </c>
      <c r="AW277" t="s">
        <v>60</v>
      </c>
      <c r="AX277" t="s">
        <v>60</v>
      </c>
      <c r="AY277">
        <v>4</v>
      </c>
      <c r="AZ277" t="s">
        <v>64</v>
      </c>
      <c r="BA277">
        <v>4</v>
      </c>
      <c r="BB277">
        <v>1</v>
      </c>
      <c r="BC277" t="s">
        <v>76</v>
      </c>
    </row>
    <row r="278" spans="1:55" x14ac:dyDescent="0.2">
      <c r="A278" s="3" t="s">
        <v>14</v>
      </c>
      <c r="B278" s="3" t="s">
        <v>3</v>
      </c>
      <c r="C278" s="3">
        <v>-9</v>
      </c>
      <c r="D278" s="3">
        <v>-1</v>
      </c>
      <c r="E278" s="3">
        <v>-2</v>
      </c>
      <c r="F278" s="3">
        <v>0</v>
      </c>
      <c r="G278" s="3">
        <v>-3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0.75</v>
      </c>
      <c r="R278">
        <v>0.75</v>
      </c>
      <c r="S278">
        <v>1</v>
      </c>
      <c r="T278">
        <f t="shared" si="31"/>
        <v>7</v>
      </c>
      <c r="U278">
        <f t="shared" si="32"/>
        <v>15</v>
      </c>
      <c r="V278">
        <f t="shared" si="33"/>
        <v>14</v>
      </c>
      <c r="W278">
        <f t="shared" si="34"/>
        <v>16</v>
      </c>
      <c r="X278">
        <f t="shared" si="35"/>
        <v>37</v>
      </c>
      <c r="Y278" t="str">
        <f>+VLOOKUP(A278,'[1]Tárgy kurzusai'!$A:$C,3,0)</f>
        <v>P:09:50-11:20(C 415)</v>
      </c>
      <c r="Z278">
        <f>+VLOOKUP(A278,'[1]Tárgy kurzusai'!$A:$F,6,0)</f>
        <v>6</v>
      </c>
      <c r="AA278" t="s">
        <v>66</v>
      </c>
      <c r="AB278" t="s">
        <v>71</v>
      </c>
      <c r="AC278" t="s">
        <v>72</v>
      </c>
      <c r="AD278" t="s">
        <v>73</v>
      </c>
      <c r="AE278" t="s">
        <v>53</v>
      </c>
      <c r="AF278" t="s">
        <v>53</v>
      </c>
      <c r="AG278" t="s">
        <v>55</v>
      </c>
      <c r="AH278" t="s">
        <v>55</v>
      </c>
      <c r="AI278" t="s">
        <v>56</v>
      </c>
      <c r="AJ278" t="s">
        <v>60</v>
      </c>
      <c r="AK278" t="s">
        <v>58</v>
      </c>
      <c r="AL278" t="s">
        <v>59</v>
      </c>
      <c r="AM278" t="s">
        <v>60</v>
      </c>
      <c r="AN278">
        <v>6</v>
      </c>
      <c r="AO278">
        <v>33</v>
      </c>
      <c r="AP278">
        <v>5</v>
      </c>
      <c r="AQ278">
        <v>13</v>
      </c>
      <c r="AR278" t="s">
        <v>55</v>
      </c>
      <c r="AS278" t="s">
        <v>55</v>
      </c>
      <c r="AT278" t="s">
        <v>56</v>
      </c>
      <c r="AU278" t="s">
        <v>62</v>
      </c>
      <c r="AV278" t="s">
        <v>63</v>
      </c>
      <c r="AW278" t="s">
        <v>60</v>
      </c>
      <c r="AX278" t="s">
        <v>60</v>
      </c>
      <c r="AY278">
        <v>4</v>
      </c>
      <c r="AZ278" t="s">
        <v>64</v>
      </c>
      <c r="BA278">
        <v>6</v>
      </c>
      <c r="BB278">
        <v>7</v>
      </c>
      <c r="BC278" t="s">
        <v>70</v>
      </c>
    </row>
    <row r="279" spans="1:55" x14ac:dyDescent="0.2">
      <c r="A279" s="3" t="s">
        <v>14</v>
      </c>
      <c r="B279" s="3" t="s">
        <v>3</v>
      </c>
      <c r="C279" s="3">
        <v>-8</v>
      </c>
      <c r="D279" s="3">
        <v>-7</v>
      </c>
      <c r="E279" s="3">
        <v>-3</v>
      </c>
      <c r="F279" s="3">
        <v>-3</v>
      </c>
      <c r="G279" s="3">
        <v>-7.5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0.5</v>
      </c>
      <c r="P279">
        <v>1</v>
      </c>
      <c r="Q279">
        <v>0.75</v>
      </c>
      <c r="R279">
        <v>1</v>
      </c>
      <c r="S279">
        <v>1</v>
      </c>
      <c r="T279">
        <f t="shared" si="31"/>
        <v>8</v>
      </c>
      <c r="U279">
        <f t="shared" si="32"/>
        <v>9</v>
      </c>
      <c r="V279">
        <f t="shared" si="33"/>
        <v>13</v>
      </c>
      <c r="W279">
        <f t="shared" si="34"/>
        <v>13</v>
      </c>
      <c r="X279">
        <f t="shared" si="35"/>
        <v>32.5</v>
      </c>
      <c r="Y279" t="str">
        <f>+VLOOKUP(A279,'[1]Tárgy kurzusai'!$A:$C,3,0)</f>
        <v>P:09:50-11:20(C 415)</v>
      </c>
      <c r="Z279">
        <f>+VLOOKUP(A279,'[1]Tárgy kurzusai'!$A:$F,6,0)</f>
        <v>6</v>
      </c>
      <c r="AA279" t="s">
        <v>49</v>
      </c>
      <c r="AB279" t="s">
        <v>71</v>
      </c>
      <c r="AC279" t="s">
        <v>74</v>
      </c>
      <c r="AD279" t="s">
        <v>60</v>
      </c>
      <c r="AE279" t="s">
        <v>69</v>
      </c>
      <c r="AF279" t="s">
        <v>69</v>
      </c>
      <c r="AG279" t="s">
        <v>55</v>
      </c>
      <c r="AH279" t="s">
        <v>55</v>
      </c>
      <c r="AI279" t="s">
        <v>55</v>
      </c>
      <c r="AJ279" t="s">
        <v>60</v>
      </c>
      <c r="AK279" t="s">
        <v>58</v>
      </c>
      <c r="AL279" t="s">
        <v>59</v>
      </c>
      <c r="AM279" t="s">
        <v>60</v>
      </c>
      <c r="AN279">
        <v>7</v>
      </c>
      <c r="AO279">
        <v>33</v>
      </c>
      <c r="AP279">
        <v>5</v>
      </c>
      <c r="AQ279">
        <v>5</v>
      </c>
      <c r="AR279" t="s">
        <v>55</v>
      </c>
      <c r="AS279" t="s">
        <v>61</v>
      </c>
      <c r="AT279" t="s">
        <v>56</v>
      </c>
      <c r="AU279" t="s">
        <v>62</v>
      </c>
      <c r="AV279" t="s">
        <v>63</v>
      </c>
      <c r="AW279" t="s">
        <v>60</v>
      </c>
      <c r="AX279" t="s">
        <v>60</v>
      </c>
      <c r="AY279">
        <v>5</v>
      </c>
      <c r="AZ279" t="s">
        <v>64</v>
      </c>
      <c r="BA279">
        <v>7</v>
      </c>
      <c r="BB279">
        <v>6</v>
      </c>
      <c r="BC279" t="s">
        <v>76</v>
      </c>
    </row>
    <row r="280" spans="1:55" x14ac:dyDescent="0.2">
      <c r="A280" s="3" t="s">
        <v>15</v>
      </c>
      <c r="B280" s="3" t="s">
        <v>6</v>
      </c>
      <c r="C280" s="3">
        <v>15</v>
      </c>
      <c r="D280" s="3">
        <v>12</v>
      </c>
      <c r="E280" s="3">
        <v>14</v>
      </c>
      <c r="F280" s="3">
        <v>15</v>
      </c>
      <c r="G280" s="3">
        <v>-6.5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0</v>
      </c>
      <c r="P280">
        <v>1</v>
      </c>
      <c r="Q280">
        <v>0.75</v>
      </c>
      <c r="R280">
        <v>1</v>
      </c>
      <c r="S280">
        <v>1</v>
      </c>
      <c r="T280">
        <f t="shared" ref="T280:T310" si="36">+C280</f>
        <v>15</v>
      </c>
      <c r="U280">
        <f t="shared" ref="U280:U310" si="37">+D280</f>
        <v>12</v>
      </c>
      <c r="V280">
        <f t="shared" ref="V280:V310" si="38">+E280</f>
        <v>14</v>
      </c>
      <c r="W280">
        <f t="shared" ref="W280:W310" si="39">+F280</f>
        <v>15</v>
      </c>
      <c r="X280">
        <f t="shared" si="35"/>
        <v>33.5</v>
      </c>
      <c r="Y280" t="str">
        <f>+VLOOKUP(A280,'[1]Tárgy kurzusai'!$A:$C,3,0)</f>
        <v>P:11:40-13:10(C 415)</v>
      </c>
      <c r="Z280">
        <f>+VLOOKUP(A280,'[1]Tárgy kurzusai'!$A:$F,6,0)</f>
        <v>6</v>
      </c>
      <c r="AA280" t="s">
        <v>49</v>
      </c>
      <c r="AB280" t="s">
        <v>71</v>
      </c>
      <c r="AC280" t="s">
        <v>74</v>
      </c>
      <c r="AD280" t="s">
        <v>60</v>
      </c>
      <c r="AE280" t="s">
        <v>69</v>
      </c>
      <c r="AF280" t="s">
        <v>53</v>
      </c>
      <c r="AG280" t="s">
        <v>55</v>
      </c>
      <c r="AH280" t="s">
        <v>55</v>
      </c>
      <c r="AI280" t="s">
        <v>55</v>
      </c>
      <c r="AJ280" t="s">
        <v>57</v>
      </c>
      <c r="AK280" t="s">
        <v>58</v>
      </c>
      <c r="AL280" t="s">
        <v>59</v>
      </c>
      <c r="AM280" t="s">
        <v>60</v>
      </c>
      <c r="AN280">
        <v>6</v>
      </c>
      <c r="AO280">
        <v>30</v>
      </c>
      <c r="AP280">
        <v>5</v>
      </c>
      <c r="AQ280">
        <v>8</v>
      </c>
      <c r="AR280" t="s">
        <v>55</v>
      </c>
      <c r="AS280" t="s">
        <v>55</v>
      </c>
      <c r="AT280" t="s">
        <v>55</v>
      </c>
      <c r="AU280" t="s">
        <v>62</v>
      </c>
      <c r="AV280" t="s">
        <v>63</v>
      </c>
      <c r="AW280" t="s">
        <v>60</v>
      </c>
      <c r="AX280" t="s">
        <v>60</v>
      </c>
      <c r="AY280">
        <v>3</v>
      </c>
      <c r="AZ280" t="s">
        <v>64</v>
      </c>
      <c r="BA280">
        <v>4</v>
      </c>
      <c r="BB280">
        <v>6</v>
      </c>
      <c r="BC280" t="s">
        <v>70</v>
      </c>
    </row>
    <row r="281" spans="1:55" x14ac:dyDescent="0.2">
      <c r="A281" s="3" t="s">
        <v>15</v>
      </c>
      <c r="B281" s="3" t="s">
        <v>6</v>
      </c>
      <c r="C281" s="3">
        <v>6</v>
      </c>
      <c r="D281" s="3">
        <v>5.5</v>
      </c>
      <c r="E281" s="3">
        <v>5.5</v>
      </c>
      <c r="F281" s="3">
        <v>8</v>
      </c>
      <c r="G281" s="3">
        <v>-10.5</v>
      </c>
      <c r="H281">
        <v>1</v>
      </c>
      <c r="I281">
        <v>0.5</v>
      </c>
      <c r="J281">
        <v>1</v>
      </c>
      <c r="K281">
        <v>0.75</v>
      </c>
      <c r="L281">
        <v>1</v>
      </c>
      <c r="M281">
        <v>0.75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</v>
      </c>
      <c r="T281">
        <f t="shared" si="36"/>
        <v>6</v>
      </c>
      <c r="U281">
        <f t="shared" si="37"/>
        <v>5.5</v>
      </c>
      <c r="V281">
        <f t="shared" si="38"/>
        <v>5.5</v>
      </c>
      <c r="W281">
        <f t="shared" si="39"/>
        <v>8</v>
      </c>
      <c r="X281">
        <f t="shared" si="35"/>
        <v>29.5</v>
      </c>
      <c r="Y281" t="str">
        <f>+VLOOKUP(A281,'[1]Tárgy kurzusai'!$A:$C,3,0)</f>
        <v>P:11:40-13:10(C 415)</v>
      </c>
      <c r="Z281">
        <f>+VLOOKUP(A281,'[1]Tárgy kurzusai'!$A:$F,6,0)</f>
        <v>6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</row>
    <row r="282" spans="1:55" x14ac:dyDescent="0.2">
      <c r="A282" s="3" t="s">
        <v>15</v>
      </c>
      <c r="B282" s="3" t="s">
        <v>6</v>
      </c>
      <c r="C282" s="3">
        <v>7</v>
      </c>
      <c r="D282" s="3">
        <v>5</v>
      </c>
      <c r="E282" s="3">
        <v>8.5</v>
      </c>
      <c r="F282" s="3">
        <v>5</v>
      </c>
      <c r="G282" s="3">
        <v>-20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0.25</v>
      </c>
      <c r="R282">
        <v>0.75</v>
      </c>
      <c r="S282">
        <v>0</v>
      </c>
      <c r="T282">
        <f t="shared" si="36"/>
        <v>7</v>
      </c>
      <c r="U282">
        <f t="shared" si="37"/>
        <v>5</v>
      </c>
      <c r="V282">
        <f t="shared" si="38"/>
        <v>8.5</v>
      </c>
      <c r="W282">
        <f t="shared" si="39"/>
        <v>5</v>
      </c>
      <c r="X282">
        <f t="shared" si="35"/>
        <v>20</v>
      </c>
      <c r="Y282" t="str">
        <f>+VLOOKUP(A282,'[1]Tárgy kurzusai'!$A:$C,3,0)</f>
        <v>P:11:40-13:10(C 415)</v>
      </c>
      <c r="Z282">
        <f>+VLOOKUP(A282,'[1]Tárgy kurzusai'!$A:$F,6,0)</f>
        <v>6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</row>
    <row r="283" spans="1:55" x14ac:dyDescent="0.2">
      <c r="A283" s="3" t="s">
        <v>15</v>
      </c>
      <c r="B283" s="3" t="s">
        <v>6</v>
      </c>
      <c r="C283" s="3">
        <v>15</v>
      </c>
      <c r="D283" s="3">
        <v>14</v>
      </c>
      <c r="E283" s="3">
        <v>14</v>
      </c>
      <c r="F283" s="3">
        <v>10</v>
      </c>
      <c r="G283" s="3">
        <v>-6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1</v>
      </c>
      <c r="T283">
        <f t="shared" si="36"/>
        <v>15</v>
      </c>
      <c r="U283">
        <f t="shared" si="37"/>
        <v>14</v>
      </c>
      <c r="V283">
        <f t="shared" si="38"/>
        <v>14</v>
      </c>
      <c r="W283">
        <f t="shared" si="39"/>
        <v>10</v>
      </c>
      <c r="X283">
        <f t="shared" si="35"/>
        <v>34</v>
      </c>
      <c r="Y283" t="str">
        <f>+VLOOKUP(A283,'[1]Tárgy kurzusai'!$A:$C,3,0)</f>
        <v>P:11:40-13:10(C 415)</v>
      </c>
      <c r="Z283">
        <f>+VLOOKUP(A283,'[1]Tárgy kurzusai'!$A:$F,6,0)</f>
        <v>6</v>
      </c>
      <c r="AA283" t="s">
        <v>49</v>
      </c>
      <c r="AB283" t="s">
        <v>50</v>
      </c>
      <c r="AC283" t="s">
        <v>75</v>
      </c>
      <c r="AD283" t="s">
        <v>111</v>
      </c>
      <c r="AE283" t="s">
        <v>53</v>
      </c>
      <c r="AF283" t="s">
        <v>53</v>
      </c>
      <c r="AG283" t="s">
        <v>55</v>
      </c>
      <c r="AH283" t="s">
        <v>55</v>
      </c>
      <c r="AI283" t="s">
        <v>55</v>
      </c>
      <c r="AJ283" t="s">
        <v>57</v>
      </c>
      <c r="AK283" t="s">
        <v>58</v>
      </c>
      <c r="AL283" t="s">
        <v>59</v>
      </c>
      <c r="AM283" t="s">
        <v>60</v>
      </c>
      <c r="AN283">
        <v>7</v>
      </c>
      <c r="AO283">
        <v>34</v>
      </c>
      <c r="AP283">
        <v>5</v>
      </c>
      <c r="AQ283">
        <v>12</v>
      </c>
      <c r="AR283" t="s">
        <v>55</v>
      </c>
      <c r="AS283" t="s">
        <v>55</v>
      </c>
      <c r="AT283" t="s">
        <v>55</v>
      </c>
      <c r="AU283" t="s">
        <v>62</v>
      </c>
      <c r="AV283" t="s">
        <v>63</v>
      </c>
      <c r="AW283" t="s">
        <v>60</v>
      </c>
      <c r="AX283" t="s">
        <v>60</v>
      </c>
      <c r="AY283">
        <v>4</v>
      </c>
      <c r="AZ283" t="s">
        <v>64</v>
      </c>
      <c r="BA283">
        <v>3</v>
      </c>
      <c r="BB283">
        <v>8</v>
      </c>
      <c r="BC283" t="s">
        <v>70</v>
      </c>
    </row>
    <row r="284" spans="1:55" x14ac:dyDescent="0.2">
      <c r="A284" s="3" t="s">
        <v>15</v>
      </c>
      <c r="B284" s="3" t="s">
        <v>6</v>
      </c>
      <c r="C284" s="3">
        <v>13.5</v>
      </c>
      <c r="D284" s="3">
        <v>7.5</v>
      </c>
      <c r="E284" s="3">
        <v>6.5</v>
      </c>
      <c r="F284" s="19">
        <v>0</v>
      </c>
      <c r="G284" s="3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0.75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  <c r="T284">
        <f t="shared" si="36"/>
        <v>13.5</v>
      </c>
      <c r="U284">
        <f t="shared" si="37"/>
        <v>7.5</v>
      </c>
      <c r="V284">
        <f t="shared" si="38"/>
        <v>6.5</v>
      </c>
      <c r="W284">
        <f t="shared" si="39"/>
        <v>0</v>
      </c>
      <c r="X284">
        <f t="shared" si="35"/>
        <v>40</v>
      </c>
      <c r="Y284" t="str">
        <f>+VLOOKUP(A284,'[1]Tárgy kurzusai'!$A:$C,3,0)</f>
        <v>P:11:40-13:10(C 415)</v>
      </c>
      <c r="Z284">
        <f>+VLOOKUP(A284,'[1]Tárgy kurzusai'!$A:$F,6,0)</f>
        <v>6</v>
      </c>
      <c r="AA284" t="s">
        <v>49</v>
      </c>
      <c r="AB284" t="s">
        <v>71</v>
      </c>
      <c r="AC284" t="s">
        <v>74</v>
      </c>
      <c r="AD284" t="s">
        <v>60</v>
      </c>
      <c r="AE284" t="s">
        <v>53</v>
      </c>
      <c r="AF284" t="s">
        <v>53</v>
      </c>
      <c r="AG284" t="s">
        <v>55</v>
      </c>
      <c r="AH284" t="s">
        <v>55</v>
      </c>
      <c r="AI284" t="s">
        <v>56</v>
      </c>
      <c r="AJ284" t="s">
        <v>57</v>
      </c>
      <c r="AK284" t="s">
        <v>79</v>
      </c>
      <c r="AL284" t="s">
        <v>59</v>
      </c>
      <c r="AM284" t="s">
        <v>60</v>
      </c>
      <c r="AN284">
        <v>7</v>
      </c>
      <c r="AO284">
        <v>33</v>
      </c>
      <c r="AP284">
        <v>5</v>
      </c>
      <c r="AQ284">
        <v>12</v>
      </c>
      <c r="AR284" t="s">
        <v>55</v>
      </c>
      <c r="AS284" t="s">
        <v>61</v>
      </c>
      <c r="AT284" t="s">
        <v>55</v>
      </c>
      <c r="AU284" t="s">
        <v>62</v>
      </c>
      <c r="AV284" t="s">
        <v>63</v>
      </c>
      <c r="AW284" t="s">
        <v>60</v>
      </c>
      <c r="AX284" t="s">
        <v>60</v>
      </c>
      <c r="AY284">
        <v>4</v>
      </c>
      <c r="AZ284" t="s">
        <v>64</v>
      </c>
      <c r="BA284">
        <v>5</v>
      </c>
      <c r="BB284">
        <v>7</v>
      </c>
      <c r="BC284" t="s">
        <v>70</v>
      </c>
    </row>
    <row r="285" spans="1:55" x14ac:dyDescent="0.2">
      <c r="A285" s="3" t="s">
        <v>15</v>
      </c>
      <c r="B285" s="3" t="s">
        <v>6</v>
      </c>
      <c r="C285" s="3">
        <v>5</v>
      </c>
      <c r="D285" s="3">
        <v>1</v>
      </c>
      <c r="E285" s="3">
        <v>10</v>
      </c>
      <c r="F285" s="3">
        <v>8.5</v>
      </c>
      <c r="G285" s="3">
        <v>-16.5</v>
      </c>
      <c r="H285">
        <v>0.75</v>
      </c>
      <c r="I285">
        <v>1</v>
      </c>
      <c r="J285">
        <v>0.75</v>
      </c>
      <c r="K285">
        <v>1</v>
      </c>
      <c r="L285">
        <v>0.5</v>
      </c>
      <c r="M285">
        <v>1</v>
      </c>
      <c r="N285">
        <v>1</v>
      </c>
      <c r="O285">
        <v>1</v>
      </c>
      <c r="P285">
        <v>1</v>
      </c>
      <c r="Q285">
        <v>0.25</v>
      </c>
      <c r="R285">
        <v>1</v>
      </c>
      <c r="S285">
        <v>1</v>
      </c>
      <c r="T285">
        <f t="shared" si="36"/>
        <v>5</v>
      </c>
      <c r="U285">
        <f t="shared" si="37"/>
        <v>1</v>
      </c>
      <c r="V285">
        <f t="shared" si="38"/>
        <v>10</v>
      </c>
      <c r="W285">
        <f t="shared" si="39"/>
        <v>8.5</v>
      </c>
      <c r="X285">
        <f t="shared" si="35"/>
        <v>23.5</v>
      </c>
      <c r="Y285" t="str">
        <f>+VLOOKUP(A285,'[1]Tárgy kurzusai'!$A:$C,3,0)</f>
        <v>P:11:40-13:10(C 415)</v>
      </c>
      <c r="Z285">
        <f>+VLOOKUP(A285,'[1]Tárgy kurzusai'!$A:$F,6,0)</f>
        <v>6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</row>
    <row r="286" spans="1:55" x14ac:dyDescent="0.2">
      <c r="A286" s="3" t="s">
        <v>15</v>
      </c>
      <c r="B286" s="3" t="s">
        <v>6</v>
      </c>
      <c r="C286" s="3">
        <v>4</v>
      </c>
      <c r="D286" s="3">
        <v>16</v>
      </c>
      <c r="E286" s="3">
        <v>16</v>
      </c>
      <c r="F286" s="3">
        <v>12</v>
      </c>
      <c r="G286" s="3">
        <v>-1.5</v>
      </c>
      <c r="H286">
        <v>1</v>
      </c>
      <c r="I286">
        <v>1</v>
      </c>
      <c r="J286">
        <v>1</v>
      </c>
      <c r="K286">
        <v>1</v>
      </c>
      <c r="L286">
        <v>0.5</v>
      </c>
      <c r="M286">
        <v>1</v>
      </c>
      <c r="N286">
        <v>1</v>
      </c>
      <c r="O286">
        <v>0.5</v>
      </c>
      <c r="P286">
        <v>1</v>
      </c>
      <c r="Q286">
        <v>0.75</v>
      </c>
      <c r="R286">
        <v>1</v>
      </c>
      <c r="S286">
        <v>1</v>
      </c>
      <c r="T286">
        <f t="shared" si="36"/>
        <v>4</v>
      </c>
      <c r="U286">
        <f t="shared" si="37"/>
        <v>16</v>
      </c>
      <c r="V286">
        <f t="shared" si="38"/>
        <v>16</v>
      </c>
      <c r="W286">
        <f t="shared" si="39"/>
        <v>12</v>
      </c>
      <c r="X286">
        <f t="shared" si="35"/>
        <v>38.5</v>
      </c>
      <c r="Y286" t="str">
        <f>+VLOOKUP(A286,'[1]Tárgy kurzusai'!$A:$C,3,0)</f>
        <v>P:11:40-13:10(C 415)</v>
      </c>
      <c r="Z286">
        <f>+VLOOKUP(A286,'[1]Tárgy kurzusai'!$A:$F,6,0)</f>
        <v>6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</row>
    <row r="287" spans="1:55" x14ac:dyDescent="0.2">
      <c r="A287" s="3" t="s">
        <v>15</v>
      </c>
      <c r="B287" s="3" t="s">
        <v>6</v>
      </c>
      <c r="C287" s="3">
        <v>7</v>
      </c>
      <c r="D287" s="3">
        <v>15</v>
      </c>
      <c r="E287" s="3">
        <v>15</v>
      </c>
      <c r="F287" s="3">
        <v>14</v>
      </c>
      <c r="G287" s="3">
        <v>-10.5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f t="shared" si="36"/>
        <v>7</v>
      </c>
      <c r="U287">
        <f t="shared" si="37"/>
        <v>15</v>
      </c>
      <c r="V287">
        <f t="shared" si="38"/>
        <v>15</v>
      </c>
      <c r="W287">
        <f t="shared" si="39"/>
        <v>14</v>
      </c>
      <c r="X287">
        <f t="shared" si="35"/>
        <v>29.5</v>
      </c>
      <c r="Y287" t="str">
        <f>+VLOOKUP(A287,'[1]Tárgy kurzusai'!$A:$C,3,0)</f>
        <v>P:11:40-13:10(C 415)</v>
      </c>
      <c r="Z287">
        <f>+VLOOKUP(A287,'[1]Tárgy kurzusai'!$A:$F,6,0)</f>
        <v>6</v>
      </c>
      <c r="AA287" t="s">
        <v>49</v>
      </c>
      <c r="AB287" t="s">
        <v>80</v>
      </c>
      <c r="AC287" t="s">
        <v>51</v>
      </c>
      <c r="AD287" t="s">
        <v>89</v>
      </c>
      <c r="AE287" t="s">
        <v>54</v>
      </c>
      <c r="AF287" t="s">
        <v>69</v>
      </c>
      <c r="AG287" t="s">
        <v>55</v>
      </c>
      <c r="AH287" t="s">
        <v>55</v>
      </c>
      <c r="AI287" t="s">
        <v>55</v>
      </c>
      <c r="AJ287" t="s">
        <v>57</v>
      </c>
      <c r="AK287" t="s">
        <v>58</v>
      </c>
      <c r="AL287" t="s">
        <v>59</v>
      </c>
      <c r="AM287" t="s">
        <v>60</v>
      </c>
      <c r="AN287">
        <v>6</v>
      </c>
      <c r="AO287">
        <v>33</v>
      </c>
      <c r="AP287">
        <v>5</v>
      </c>
      <c r="AQ287">
        <v>6</v>
      </c>
      <c r="AR287" t="s">
        <v>55</v>
      </c>
      <c r="AS287" t="s">
        <v>61</v>
      </c>
      <c r="AT287" t="s">
        <v>55</v>
      </c>
      <c r="AU287" t="s">
        <v>62</v>
      </c>
      <c r="AV287" t="s">
        <v>63</v>
      </c>
      <c r="AW287" t="s">
        <v>60</v>
      </c>
      <c r="AX287" t="s">
        <v>60</v>
      </c>
      <c r="AY287">
        <v>3</v>
      </c>
      <c r="AZ287" t="s">
        <v>64</v>
      </c>
      <c r="BA287">
        <v>6</v>
      </c>
      <c r="BB287">
        <v>7</v>
      </c>
      <c r="BC287" t="s">
        <v>70</v>
      </c>
    </row>
    <row r="288" spans="1:55" x14ac:dyDescent="0.2">
      <c r="A288" s="3" t="s">
        <v>15</v>
      </c>
      <c r="B288" s="3" t="s">
        <v>6</v>
      </c>
      <c r="C288" s="3">
        <v>12</v>
      </c>
      <c r="D288" s="3">
        <v>10</v>
      </c>
      <c r="E288" s="3">
        <v>5.5</v>
      </c>
      <c r="F288" s="3">
        <v>6</v>
      </c>
      <c r="G288" s="3">
        <v>-15.5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0.5</v>
      </c>
      <c r="R288">
        <v>1</v>
      </c>
      <c r="S288">
        <v>1</v>
      </c>
      <c r="T288">
        <f t="shared" si="36"/>
        <v>12</v>
      </c>
      <c r="U288">
        <f t="shared" si="37"/>
        <v>10</v>
      </c>
      <c r="V288">
        <f t="shared" si="38"/>
        <v>5.5</v>
      </c>
      <c r="W288">
        <f t="shared" si="39"/>
        <v>6</v>
      </c>
      <c r="X288">
        <f t="shared" si="35"/>
        <v>24.5</v>
      </c>
      <c r="Y288" t="str">
        <f>+VLOOKUP(A288,'[1]Tárgy kurzusai'!$A:$C,3,0)</f>
        <v>P:11:40-13:10(C 415)</v>
      </c>
      <c r="Z288">
        <f>+VLOOKUP(A288,'[1]Tárgy kurzusai'!$A:$F,6,0)</f>
        <v>6</v>
      </c>
      <c r="AA288" t="s">
        <v>49</v>
      </c>
      <c r="AB288" t="s">
        <v>80</v>
      </c>
      <c r="AC288" t="s">
        <v>75</v>
      </c>
      <c r="AD288" t="s">
        <v>68</v>
      </c>
      <c r="AE288" t="s">
        <v>69</v>
      </c>
      <c r="AF288" t="s">
        <v>69</v>
      </c>
      <c r="AG288" t="s">
        <v>55</v>
      </c>
      <c r="AH288" t="s">
        <v>55</v>
      </c>
      <c r="AI288" t="s">
        <v>55</v>
      </c>
      <c r="AJ288" t="s">
        <v>57</v>
      </c>
      <c r="AK288" t="s">
        <v>58</v>
      </c>
      <c r="AL288" t="s">
        <v>59</v>
      </c>
      <c r="AM288" t="s">
        <v>60</v>
      </c>
      <c r="AN288">
        <v>7</v>
      </c>
      <c r="AO288">
        <v>33</v>
      </c>
      <c r="AP288">
        <v>5</v>
      </c>
      <c r="AQ288">
        <v>13</v>
      </c>
      <c r="AR288" t="s">
        <v>55</v>
      </c>
      <c r="AS288" t="s">
        <v>55</v>
      </c>
      <c r="AT288" t="s">
        <v>55</v>
      </c>
      <c r="AU288" t="s">
        <v>62</v>
      </c>
      <c r="AV288" t="s">
        <v>63</v>
      </c>
      <c r="AW288" t="s">
        <v>60</v>
      </c>
      <c r="AX288" t="s">
        <v>60</v>
      </c>
      <c r="AY288">
        <v>3</v>
      </c>
      <c r="AZ288" t="s">
        <v>64</v>
      </c>
      <c r="BA288">
        <v>5</v>
      </c>
      <c r="BB288">
        <v>5</v>
      </c>
      <c r="BC288" t="s">
        <v>76</v>
      </c>
    </row>
    <row r="289" spans="1:55" x14ac:dyDescent="0.2">
      <c r="A289" s="3" t="s">
        <v>15</v>
      </c>
      <c r="B289" s="3" t="s">
        <v>6</v>
      </c>
      <c r="C289" s="3">
        <v>4.5</v>
      </c>
      <c r="D289" s="3">
        <v>15</v>
      </c>
      <c r="E289" s="3">
        <v>15</v>
      </c>
      <c r="F289" s="3">
        <v>14.5</v>
      </c>
      <c r="G289" s="3">
        <v>-6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0.5</v>
      </c>
      <c r="R289">
        <v>1</v>
      </c>
      <c r="S289">
        <v>1</v>
      </c>
      <c r="T289">
        <f t="shared" si="36"/>
        <v>4.5</v>
      </c>
      <c r="U289">
        <f t="shared" si="37"/>
        <v>15</v>
      </c>
      <c r="V289">
        <f t="shared" si="38"/>
        <v>15</v>
      </c>
      <c r="W289">
        <f t="shared" si="39"/>
        <v>14.5</v>
      </c>
      <c r="X289">
        <f t="shared" si="35"/>
        <v>34</v>
      </c>
      <c r="Y289" t="str">
        <f>+VLOOKUP(A289,'[1]Tárgy kurzusai'!$A:$C,3,0)</f>
        <v>P:11:40-13:10(C 415)</v>
      </c>
      <c r="Z289">
        <f>+VLOOKUP(A289,'[1]Tárgy kurzusai'!$A:$F,6,0)</f>
        <v>6</v>
      </c>
      <c r="AA289" t="s">
        <v>49</v>
      </c>
      <c r="AB289" t="s">
        <v>71</v>
      </c>
      <c r="AC289" t="s">
        <v>74</v>
      </c>
      <c r="AD289" t="s">
        <v>60</v>
      </c>
      <c r="AE289" t="s">
        <v>69</v>
      </c>
      <c r="AF289" t="s">
        <v>69</v>
      </c>
      <c r="AG289" t="s">
        <v>55</v>
      </c>
      <c r="AH289" t="s">
        <v>55</v>
      </c>
      <c r="AI289" t="s">
        <v>55</v>
      </c>
      <c r="AJ289" t="s">
        <v>57</v>
      </c>
      <c r="AK289" t="s">
        <v>58</v>
      </c>
      <c r="AL289" t="s">
        <v>59</v>
      </c>
      <c r="AM289" t="s">
        <v>60</v>
      </c>
      <c r="AN289">
        <v>6</v>
      </c>
      <c r="AO289">
        <v>34</v>
      </c>
      <c r="AP289">
        <v>5</v>
      </c>
      <c r="AQ289">
        <v>3</v>
      </c>
      <c r="AR289" t="s">
        <v>55</v>
      </c>
      <c r="AS289" t="s">
        <v>61</v>
      </c>
      <c r="AT289" t="s">
        <v>56</v>
      </c>
      <c r="AU289" t="s">
        <v>62</v>
      </c>
      <c r="AV289" t="s">
        <v>63</v>
      </c>
      <c r="AW289" t="s">
        <v>60</v>
      </c>
      <c r="AX289" t="s">
        <v>60</v>
      </c>
      <c r="AY289">
        <v>4</v>
      </c>
      <c r="AZ289" t="s">
        <v>64</v>
      </c>
      <c r="BA289">
        <v>5</v>
      </c>
      <c r="BB289">
        <v>6</v>
      </c>
      <c r="BC289" t="s">
        <v>65</v>
      </c>
    </row>
    <row r="290" spans="1:55" x14ac:dyDescent="0.2">
      <c r="A290" s="3" t="s">
        <v>15</v>
      </c>
      <c r="B290" s="3" t="s">
        <v>6</v>
      </c>
      <c r="C290" s="19">
        <v>0</v>
      </c>
      <c r="D290" s="3">
        <v>5.5</v>
      </c>
      <c r="E290" s="3">
        <v>7.5</v>
      </c>
      <c r="F290" s="19">
        <v>0</v>
      </c>
      <c r="G290" s="3">
        <v>0</v>
      </c>
      <c r="H290">
        <v>0.75</v>
      </c>
      <c r="I290">
        <v>0.75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0.5</v>
      </c>
      <c r="P290">
        <v>1</v>
      </c>
      <c r="Q290">
        <v>0.5</v>
      </c>
      <c r="R290">
        <v>1</v>
      </c>
      <c r="S290">
        <v>1</v>
      </c>
      <c r="T290">
        <f t="shared" si="36"/>
        <v>0</v>
      </c>
      <c r="U290">
        <f t="shared" si="37"/>
        <v>5.5</v>
      </c>
      <c r="V290">
        <f t="shared" si="38"/>
        <v>7.5</v>
      </c>
      <c r="W290">
        <f t="shared" si="39"/>
        <v>0</v>
      </c>
      <c r="X290">
        <f t="shared" si="35"/>
        <v>40</v>
      </c>
      <c r="Y290" t="str">
        <f>+VLOOKUP(A290,'[1]Tárgy kurzusai'!$A:$C,3,0)</f>
        <v>P:11:40-13:10(C 415)</v>
      </c>
      <c r="Z290">
        <f>+VLOOKUP(A290,'[1]Tárgy kurzusai'!$A:$F,6,0)</f>
        <v>6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</row>
    <row r="291" spans="1:55" x14ac:dyDescent="0.2">
      <c r="A291" s="3" t="s">
        <v>15</v>
      </c>
      <c r="B291" s="3" t="s">
        <v>6</v>
      </c>
      <c r="C291" s="3">
        <v>9.5</v>
      </c>
      <c r="D291" s="3">
        <v>7</v>
      </c>
      <c r="E291" s="3">
        <v>5</v>
      </c>
      <c r="F291" s="20">
        <v>8</v>
      </c>
      <c r="G291" s="3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0.25</v>
      </c>
      <c r="R291">
        <v>1</v>
      </c>
      <c r="S291">
        <v>1</v>
      </c>
      <c r="T291">
        <f t="shared" si="36"/>
        <v>9.5</v>
      </c>
      <c r="U291">
        <f t="shared" si="37"/>
        <v>7</v>
      </c>
      <c r="V291">
        <f t="shared" si="38"/>
        <v>5</v>
      </c>
      <c r="W291">
        <f t="shared" si="39"/>
        <v>8</v>
      </c>
      <c r="X291">
        <f t="shared" si="35"/>
        <v>40</v>
      </c>
      <c r="Y291" t="str">
        <f>+VLOOKUP(A291,'[1]Tárgy kurzusai'!$A:$C,3,0)</f>
        <v>P:11:40-13:10(C 415)</v>
      </c>
      <c r="Z291">
        <f>+VLOOKUP(A291,'[1]Tárgy kurzusai'!$A:$F,6,0)</f>
        <v>6</v>
      </c>
      <c r="AA291" t="s">
        <v>49</v>
      </c>
      <c r="AB291" t="s">
        <v>71</v>
      </c>
      <c r="AC291" t="s">
        <v>74</v>
      </c>
      <c r="AD291" t="s">
        <v>60</v>
      </c>
      <c r="AE291" t="s">
        <v>69</v>
      </c>
      <c r="AF291" t="s">
        <v>69</v>
      </c>
      <c r="AG291" t="s">
        <v>55</v>
      </c>
      <c r="AH291" t="s">
        <v>56</v>
      </c>
      <c r="AI291" t="s">
        <v>55</v>
      </c>
      <c r="AJ291" t="s">
        <v>57</v>
      </c>
      <c r="AK291" t="s">
        <v>79</v>
      </c>
      <c r="AL291" t="s">
        <v>59</v>
      </c>
      <c r="AM291" t="s">
        <v>60</v>
      </c>
      <c r="AN291">
        <v>8</v>
      </c>
      <c r="AO291">
        <v>34</v>
      </c>
      <c r="AP291">
        <v>5</v>
      </c>
      <c r="AQ291">
        <v>14</v>
      </c>
      <c r="AR291" t="s">
        <v>55</v>
      </c>
      <c r="AS291" t="s">
        <v>55</v>
      </c>
      <c r="AT291" t="s">
        <v>55</v>
      </c>
      <c r="AU291" t="s">
        <v>62</v>
      </c>
      <c r="AV291" t="s">
        <v>63</v>
      </c>
      <c r="AW291" t="s">
        <v>60</v>
      </c>
      <c r="AX291" t="s">
        <v>60</v>
      </c>
      <c r="AY291">
        <v>4</v>
      </c>
      <c r="AZ291" t="s">
        <v>64</v>
      </c>
      <c r="BA291">
        <v>6</v>
      </c>
      <c r="BB291">
        <v>7</v>
      </c>
      <c r="BC291" t="s">
        <v>82</v>
      </c>
    </row>
    <row r="292" spans="1:55" x14ac:dyDescent="0.2">
      <c r="A292" s="3" t="s">
        <v>15</v>
      </c>
      <c r="B292" s="3" t="s">
        <v>6</v>
      </c>
      <c r="C292" s="3">
        <v>3.5</v>
      </c>
      <c r="D292" s="19">
        <v>0</v>
      </c>
      <c r="E292" s="19">
        <v>0</v>
      </c>
      <c r="F292" s="19">
        <v>0</v>
      </c>
      <c r="G292" s="3">
        <v>0</v>
      </c>
      <c r="H292">
        <v>1</v>
      </c>
      <c r="I292">
        <v>0.75</v>
      </c>
      <c r="J292">
        <v>1</v>
      </c>
      <c r="K292">
        <v>1</v>
      </c>
      <c r="L292">
        <v>1</v>
      </c>
      <c r="M292">
        <v>0</v>
      </c>
      <c r="N292">
        <v>0.75</v>
      </c>
      <c r="O292">
        <v>1</v>
      </c>
      <c r="P292">
        <v>1</v>
      </c>
      <c r="Q292">
        <v>0.5</v>
      </c>
      <c r="R292">
        <v>1</v>
      </c>
      <c r="S292">
        <v>1</v>
      </c>
      <c r="T292">
        <f t="shared" si="36"/>
        <v>3.5</v>
      </c>
      <c r="U292">
        <f t="shared" si="37"/>
        <v>0</v>
      </c>
      <c r="V292">
        <f t="shared" si="38"/>
        <v>0</v>
      </c>
      <c r="W292">
        <f t="shared" si="39"/>
        <v>0</v>
      </c>
      <c r="X292">
        <f t="shared" si="35"/>
        <v>40</v>
      </c>
      <c r="Y292" t="str">
        <f>+VLOOKUP(A292,'[1]Tárgy kurzusai'!$A:$C,3,0)</f>
        <v>P:11:40-13:10(C 415)</v>
      </c>
      <c r="Z292">
        <f>+VLOOKUP(A292,'[1]Tárgy kurzusai'!$A:$F,6,0)</f>
        <v>6</v>
      </c>
      <c r="AA292" t="s">
        <v>49</v>
      </c>
      <c r="AB292" t="s">
        <v>80</v>
      </c>
      <c r="AC292" t="s">
        <v>51</v>
      </c>
      <c r="AD292" t="s">
        <v>68</v>
      </c>
      <c r="AE292" t="s">
        <v>69</v>
      </c>
      <c r="AF292" t="s">
        <v>69</v>
      </c>
      <c r="AG292" t="s">
        <v>55</v>
      </c>
      <c r="AH292" t="s">
        <v>55</v>
      </c>
      <c r="AI292" t="s">
        <v>55</v>
      </c>
      <c r="AJ292" t="s">
        <v>57</v>
      </c>
      <c r="AK292" t="s">
        <v>79</v>
      </c>
      <c r="AL292" t="s">
        <v>59</v>
      </c>
      <c r="AM292" t="s">
        <v>60</v>
      </c>
      <c r="AN292">
        <v>5</v>
      </c>
      <c r="AO292">
        <v>30</v>
      </c>
      <c r="AP292">
        <v>5</v>
      </c>
      <c r="AQ292">
        <v>7</v>
      </c>
      <c r="AR292" t="s">
        <v>55</v>
      </c>
      <c r="AS292" t="s">
        <v>55</v>
      </c>
      <c r="AT292" t="s">
        <v>55</v>
      </c>
      <c r="AU292" t="s">
        <v>62</v>
      </c>
      <c r="AV292" t="s">
        <v>63</v>
      </c>
      <c r="AW292" t="s">
        <v>60</v>
      </c>
      <c r="AX292" t="s">
        <v>60</v>
      </c>
      <c r="AY292">
        <v>3</v>
      </c>
      <c r="AZ292" t="s">
        <v>78</v>
      </c>
      <c r="BA292">
        <v>6</v>
      </c>
      <c r="BB292">
        <v>5</v>
      </c>
      <c r="BC292" t="s">
        <v>65</v>
      </c>
    </row>
    <row r="293" spans="1:55" x14ac:dyDescent="0.2">
      <c r="A293" s="3" t="s">
        <v>15</v>
      </c>
      <c r="B293" s="3" t="s">
        <v>6</v>
      </c>
      <c r="C293" s="3">
        <v>7.5</v>
      </c>
      <c r="D293" s="3">
        <v>9</v>
      </c>
      <c r="E293" s="3">
        <v>10</v>
      </c>
      <c r="F293" s="3">
        <v>11.5</v>
      </c>
      <c r="G293" s="3">
        <v>0</v>
      </c>
      <c r="H293">
        <v>1</v>
      </c>
      <c r="I293">
        <v>1</v>
      </c>
      <c r="J293">
        <v>1</v>
      </c>
      <c r="K293">
        <v>1</v>
      </c>
      <c r="L293">
        <v>0.5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f t="shared" si="36"/>
        <v>7.5</v>
      </c>
      <c r="U293">
        <f t="shared" si="37"/>
        <v>9</v>
      </c>
      <c r="V293">
        <f t="shared" si="38"/>
        <v>10</v>
      </c>
      <c r="W293">
        <f t="shared" si="39"/>
        <v>11.5</v>
      </c>
      <c r="X293">
        <f t="shared" si="35"/>
        <v>40</v>
      </c>
      <c r="Y293" t="str">
        <f>+VLOOKUP(A293,'[1]Tárgy kurzusai'!$A:$C,3,0)</f>
        <v>P:11:40-13:10(C 415)</v>
      </c>
      <c r="Z293">
        <f>+VLOOKUP(A293,'[1]Tárgy kurzusai'!$A:$F,6,0)</f>
        <v>6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</row>
    <row r="294" spans="1:55" x14ac:dyDescent="0.2">
      <c r="A294" s="3" t="s">
        <v>15</v>
      </c>
      <c r="B294" s="3" t="s">
        <v>6</v>
      </c>
      <c r="C294" s="3">
        <v>15.5</v>
      </c>
      <c r="D294" s="3">
        <v>13</v>
      </c>
      <c r="E294" s="3">
        <v>13</v>
      </c>
      <c r="F294" s="3">
        <v>9</v>
      </c>
      <c r="G294" s="3">
        <v>-10.5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0.5</v>
      </c>
      <c r="P294">
        <v>1</v>
      </c>
      <c r="Q294">
        <v>0.5</v>
      </c>
      <c r="R294">
        <v>1</v>
      </c>
      <c r="S294">
        <v>1</v>
      </c>
      <c r="T294">
        <f t="shared" si="36"/>
        <v>15.5</v>
      </c>
      <c r="U294">
        <f t="shared" si="37"/>
        <v>13</v>
      </c>
      <c r="V294">
        <f t="shared" si="38"/>
        <v>13</v>
      </c>
      <c r="W294">
        <f t="shared" si="39"/>
        <v>9</v>
      </c>
      <c r="X294">
        <f t="shared" si="35"/>
        <v>29.5</v>
      </c>
      <c r="Y294" t="str">
        <f>+VLOOKUP(A294,'[1]Tárgy kurzusai'!$A:$C,3,0)</f>
        <v>P:11:40-13:10(C 415)</v>
      </c>
      <c r="Z294">
        <f>+VLOOKUP(A294,'[1]Tárgy kurzusai'!$A:$F,6,0)</f>
        <v>6</v>
      </c>
      <c r="AA294" t="s">
        <v>49</v>
      </c>
      <c r="AB294" t="s">
        <v>71</v>
      </c>
      <c r="AC294" t="s">
        <v>74</v>
      </c>
      <c r="AD294" t="s">
        <v>60</v>
      </c>
      <c r="AE294" t="s">
        <v>69</v>
      </c>
      <c r="AF294" t="s">
        <v>69</v>
      </c>
      <c r="AG294" t="s">
        <v>55</v>
      </c>
      <c r="AH294" t="s">
        <v>55</v>
      </c>
      <c r="AI294" t="s">
        <v>55</v>
      </c>
      <c r="AJ294" t="s">
        <v>57</v>
      </c>
      <c r="AK294" t="s">
        <v>58</v>
      </c>
      <c r="AL294" t="s">
        <v>59</v>
      </c>
      <c r="AM294" t="s">
        <v>60</v>
      </c>
      <c r="AN294">
        <v>6</v>
      </c>
      <c r="AO294">
        <v>33</v>
      </c>
      <c r="AP294">
        <v>5</v>
      </c>
      <c r="AQ294">
        <v>12</v>
      </c>
      <c r="AR294" t="s">
        <v>55</v>
      </c>
      <c r="AS294" t="s">
        <v>61</v>
      </c>
      <c r="AT294" t="s">
        <v>56</v>
      </c>
      <c r="AU294" t="s">
        <v>62</v>
      </c>
      <c r="AV294" t="s">
        <v>63</v>
      </c>
      <c r="AW294" t="s">
        <v>60</v>
      </c>
      <c r="AX294" t="s">
        <v>60</v>
      </c>
      <c r="AY294">
        <v>4</v>
      </c>
      <c r="AZ294" t="s">
        <v>64</v>
      </c>
      <c r="BA294">
        <v>3</v>
      </c>
      <c r="BB294">
        <v>5</v>
      </c>
      <c r="BC294" t="s">
        <v>70</v>
      </c>
    </row>
    <row r="295" spans="1:55" x14ac:dyDescent="0.2">
      <c r="A295" s="3" t="s">
        <v>15</v>
      </c>
      <c r="B295" s="3" t="s">
        <v>6</v>
      </c>
      <c r="C295" s="3">
        <v>12</v>
      </c>
      <c r="D295" s="3">
        <v>7</v>
      </c>
      <c r="E295" s="3">
        <v>8</v>
      </c>
      <c r="F295" s="3">
        <v>9</v>
      </c>
      <c r="G295" s="3">
        <v>-12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0.33</v>
      </c>
      <c r="P295">
        <v>1</v>
      </c>
      <c r="Q295">
        <v>0.75</v>
      </c>
      <c r="R295">
        <v>1</v>
      </c>
      <c r="S295">
        <v>1</v>
      </c>
      <c r="T295">
        <f t="shared" si="36"/>
        <v>12</v>
      </c>
      <c r="U295">
        <f t="shared" si="37"/>
        <v>7</v>
      </c>
      <c r="V295">
        <f t="shared" si="38"/>
        <v>8</v>
      </c>
      <c r="W295">
        <f t="shared" si="39"/>
        <v>9</v>
      </c>
      <c r="X295">
        <f t="shared" si="35"/>
        <v>28</v>
      </c>
      <c r="Y295" t="str">
        <f>+VLOOKUP(A295,'[1]Tárgy kurzusai'!$A:$C,3,0)</f>
        <v>P:11:40-13:10(C 415)</v>
      </c>
      <c r="Z295">
        <f>+VLOOKUP(A295,'[1]Tárgy kurzusai'!$A:$F,6,0)</f>
        <v>6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</row>
    <row r="296" spans="1:55" x14ac:dyDescent="0.2">
      <c r="A296" s="3" t="s">
        <v>15</v>
      </c>
      <c r="B296" s="3" t="s">
        <v>6</v>
      </c>
      <c r="C296" s="19">
        <v>0</v>
      </c>
      <c r="D296" s="3">
        <v>9.5</v>
      </c>
      <c r="E296" s="19">
        <v>0</v>
      </c>
      <c r="F296" s="3">
        <v>1</v>
      </c>
      <c r="G296" s="3">
        <v>0</v>
      </c>
      <c r="H296">
        <v>1</v>
      </c>
      <c r="I296">
        <v>1</v>
      </c>
      <c r="J296">
        <v>0.75</v>
      </c>
      <c r="K296">
        <v>1</v>
      </c>
      <c r="L296">
        <v>0.5</v>
      </c>
      <c r="M296">
        <v>0</v>
      </c>
      <c r="N296">
        <v>0.5</v>
      </c>
      <c r="O296">
        <v>1</v>
      </c>
      <c r="P296">
        <v>1</v>
      </c>
      <c r="Q296">
        <v>0.75</v>
      </c>
      <c r="R296">
        <v>1</v>
      </c>
      <c r="S296">
        <v>1</v>
      </c>
      <c r="T296">
        <f t="shared" si="36"/>
        <v>0</v>
      </c>
      <c r="U296">
        <f t="shared" si="37"/>
        <v>9.5</v>
      </c>
      <c r="V296">
        <f t="shared" si="38"/>
        <v>0</v>
      </c>
      <c r="W296">
        <f t="shared" si="39"/>
        <v>1</v>
      </c>
      <c r="X296">
        <f t="shared" si="35"/>
        <v>40</v>
      </c>
      <c r="Y296" t="str">
        <f>+VLOOKUP(A296,'[1]Tárgy kurzusai'!$A:$C,3,0)</f>
        <v>P:11:40-13:10(C 415)</v>
      </c>
      <c r="Z296">
        <f>+VLOOKUP(A296,'[1]Tárgy kurzusai'!$A:$F,6,0)</f>
        <v>6</v>
      </c>
      <c r="AA296" t="s">
        <v>66</v>
      </c>
      <c r="AB296" t="s">
        <v>67</v>
      </c>
      <c r="AC296" t="s">
        <v>74</v>
      </c>
      <c r="AD296" t="s">
        <v>60</v>
      </c>
      <c r="AE296" t="s">
        <v>69</v>
      </c>
      <c r="AF296" t="s">
        <v>69</v>
      </c>
      <c r="AG296" t="s">
        <v>55</v>
      </c>
      <c r="AH296" t="s">
        <v>55</v>
      </c>
      <c r="AI296" t="s">
        <v>55</v>
      </c>
      <c r="AJ296" t="s">
        <v>57</v>
      </c>
      <c r="AK296" t="s">
        <v>58</v>
      </c>
      <c r="AL296" t="s">
        <v>59</v>
      </c>
      <c r="AM296" t="s">
        <v>60</v>
      </c>
      <c r="AN296">
        <v>7</v>
      </c>
      <c r="AO296">
        <v>33</v>
      </c>
      <c r="AP296">
        <v>5</v>
      </c>
      <c r="AQ296">
        <v>10</v>
      </c>
      <c r="AR296" t="s">
        <v>106</v>
      </c>
      <c r="AS296" t="s">
        <v>55</v>
      </c>
      <c r="AT296" t="s">
        <v>55</v>
      </c>
      <c r="AU296" t="s">
        <v>62</v>
      </c>
      <c r="AV296" t="s">
        <v>63</v>
      </c>
      <c r="AW296" t="s">
        <v>60</v>
      </c>
      <c r="AX296" t="s">
        <v>60</v>
      </c>
      <c r="AY296">
        <v>4</v>
      </c>
      <c r="AZ296" t="s">
        <v>64</v>
      </c>
      <c r="BA296">
        <v>7</v>
      </c>
      <c r="BB296">
        <v>7</v>
      </c>
      <c r="BC296" t="s">
        <v>65</v>
      </c>
    </row>
    <row r="297" spans="1:55" x14ac:dyDescent="0.2">
      <c r="A297" s="3" t="s">
        <v>15</v>
      </c>
      <c r="B297" s="3" t="s">
        <v>6</v>
      </c>
      <c r="C297" s="3">
        <v>11</v>
      </c>
      <c r="D297" s="3">
        <v>5.5</v>
      </c>
      <c r="E297" s="3">
        <v>12</v>
      </c>
      <c r="F297" s="19">
        <v>0</v>
      </c>
      <c r="G297" s="3">
        <v>-13.5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0.5</v>
      </c>
      <c r="R297">
        <v>1</v>
      </c>
      <c r="S297">
        <v>1</v>
      </c>
      <c r="T297">
        <f t="shared" si="36"/>
        <v>11</v>
      </c>
      <c r="U297">
        <f t="shared" si="37"/>
        <v>5.5</v>
      </c>
      <c r="V297">
        <f t="shared" si="38"/>
        <v>12</v>
      </c>
      <c r="W297">
        <f t="shared" si="39"/>
        <v>0</v>
      </c>
      <c r="X297">
        <f t="shared" si="35"/>
        <v>26.5</v>
      </c>
      <c r="Y297" t="str">
        <f>+VLOOKUP(A297,'[1]Tárgy kurzusai'!$A:$C,3,0)</f>
        <v>P:11:40-13:10(C 415)</v>
      </c>
      <c r="Z297">
        <f>+VLOOKUP(A297,'[1]Tárgy kurzusai'!$A:$F,6,0)</f>
        <v>6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</row>
    <row r="298" spans="1:55" x14ac:dyDescent="0.2">
      <c r="A298" s="3" t="s">
        <v>15</v>
      </c>
      <c r="B298" s="3" t="s">
        <v>6</v>
      </c>
      <c r="C298" s="3">
        <v>8</v>
      </c>
      <c r="D298" s="3">
        <v>6.5</v>
      </c>
      <c r="E298" s="3">
        <v>11</v>
      </c>
      <c r="F298" s="3">
        <v>11</v>
      </c>
      <c r="G298" s="3">
        <v>-16.5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0.75</v>
      </c>
      <c r="N298">
        <v>1</v>
      </c>
      <c r="O298">
        <v>0</v>
      </c>
      <c r="P298">
        <v>1</v>
      </c>
      <c r="Q298">
        <v>0.5</v>
      </c>
      <c r="R298">
        <v>1</v>
      </c>
      <c r="S298">
        <v>1</v>
      </c>
      <c r="T298">
        <f t="shared" si="36"/>
        <v>8</v>
      </c>
      <c r="U298">
        <f t="shared" si="37"/>
        <v>6.5</v>
      </c>
      <c r="V298">
        <f t="shared" si="38"/>
        <v>11</v>
      </c>
      <c r="W298">
        <f t="shared" si="39"/>
        <v>11</v>
      </c>
      <c r="X298">
        <f t="shared" si="35"/>
        <v>23.5</v>
      </c>
      <c r="Y298" t="str">
        <f>+VLOOKUP(A298,'[1]Tárgy kurzusai'!$A:$C,3,0)</f>
        <v>P:11:40-13:10(C 415)</v>
      </c>
      <c r="Z298">
        <f>+VLOOKUP(A298,'[1]Tárgy kurzusai'!$A:$F,6,0)</f>
        <v>6</v>
      </c>
      <c r="AA298" t="s">
        <v>66</v>
      </c>
      <c r="AB298" t="s">
        <v>71</v>
      </c>
      <c r="AC298" t="s">
        <v>51</v>
      </c>
      <c r="AD298" t="s">
        <v>68</v>
      </c>
      <c r="AE298" t="s">
        <v>69</v>
      </c>
      <c r="AF298" t="s">
        <v>69</v>
      </c>
      <c r="AG298" t="s">
        <v>55</v>
      </c>
      <c r="AH298" t="s">
        <v>55</v>
      </c>
      <c r="AI298" t="s">
        <v>55</v>
      </c>
      <c r="AJ298" t="s">
        <v>57</v>
      </c>
      <c r="AK298" t="s">
        <v>58</v>
      </c>
      <c r="AL298" t="s">
        <v>59</v>
      </c>
      <c r="AM298" t="s">
        <v>60</v>
      </c>
      <c r="AN298">
        <v>6</v>
      </c>
      <c r="AO298">
        <v>33</v>
      </c>
      <c r="AP298">
        <v>5</v>
      </c>
      <c r="AQ298">
        <v>11</v>
      </c>
      <c r="AR298" t="s">
        <v>55</v>
      </c>
      <c r="AS298" t="s">
        <v>61</v>
      </c>
      <c r="AT298" t="s">
        <v>56</v>
      </c>
      <c r="AU298" t="s">
        <v>62</v>
      </c>
      <c r="AV298" t="s">
        <v>63</v>
      </c>
      <c r="AW298" t="s">
        <v>60</v>
      </c>
      <c r="AX298" t="s">
        <v>60</v>
      </c>
      <c r="AY298">
        <v>4</v>
      </c>
      <c r="AZ298" t="s">
        <v>78</v>
      </c>
      <c r="BA298">
        <v>4</v>
      </c>
      <c r="BB298">
        <v>5</v>
      </c>
      <c r="BC298" t="s">
        <v>70</v>
      </c>
    </row>
    <row r="299" spans="1:55" x14ac:dyDescent="0.2">
      <c r="A299" s="3" t="s">
        <v>15</v>
      </c>
      <c r="B299" s="3" t="s">
        <v>6</v>
      </c>
      <c r="C299" s="3">
        <v>12</v>
      </c>
      <c r="D299" s="3">
        <v>1.5</v>
      </c>
      <c r="E299" s="3">
        <v>13</v>
      </c>
      <c r="F299" s="3">
        <v>16</v>
      </c>
      <c r="G299" s="3">
        <v>-9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f t="shared" si="36"/>
        <v>12</v>
      </c>
      <c r="U299">
        <f t="shared" si="37"/>
        <v>1.5</v>
      </c>
      <c r="V299">
        <f t="shared" si="38"/>
        <v>13</v>
      </c>
      <c r="W299">
        <f t="shared" si="39"/>
        <v>16</v>
      </c>
      <c r="X299">
        <f t="shared" si="35"/>
        <v>31</v>
      </c>
      <c r="Y299" t="str">
        <f>+VLOOKUP(A299,'[1]Tárgy kurzusai'!$A:$C,3,0)</f>
        <v>P:11:40-13:10(C 415)</v>
      </c>
      <c r="Z299">
        <f>+VLOOKUP(A299,'[1]Tárgy kurzusai'!$A:$F,6,0)</f>
        <v>6</v>
      </c>
      <c r="AA299" t="s">
        <v>49</v>
      </c>
      <c r="AB299" t="s">
        <v>50</v>
      </c>
      <c r="AC299" t="s">
        <v>51</v>
      </c>
      <c r="AD299" t="s">
        <v>93</v>
      </c>
      <c r="AE299" t="s">
        <v>69</v>
      </c>
      <c r="AF299" t="s">
        <v>53</v>
      </c>
      <c r="AG299" t="s">
        <v>55</v>
      </c>
      <c r="AH299" t="s">
        <v>55</v>
      </c>
      <c r="AI299" t="s">
        <v>55</v>
      </c>
      <c r="AJ299" t="s">
        <v>57</v>
      </c>
      <c r="AK299" t="s">
        <v>58</v>
      </c>
      <c r="AL299" t="s">
        <v>59</v>
      </c>
      <c r="AM299" t="s">
        <v>60</v>
      </c>
      <c r="AN299">
        <v>7</v>
      </c>
      <c r="AO299">
        <v>37</v>
      </c>
      <c r="AP299">
        <v>5</v>
      </c>
      <c r="AQ299">
        <v>2</v>
      </c>
      <c r="AR299" t="s">
        <v>55</v>
      </c>
      <c r="AS299" t="s">
        <v>61</v>
      </c>
      <c r="AT299" t="s">
        <v>56</v>
      </c>
      <c r="AU299" t="s">
        <v>62</v>
      </c>
      <c r="AV299" t="s">
        <v>63</v>
      </c>
      <c r="AW299" t="s">
        <v>60</v>
      </c>
      <c r="AX299" t="s">
        <v>60</v>
      </c>
      <c r="AY299">
        <v>3</v>
      </c>
      <c r="AZ299" t="s">
        <v>64</v>
      </c>
      <c r="BA299">
        <v>5</v>
      </c>
      <c r="BB299">
        <v>8</v>
      </c>
      <c r="BC299" t="s">
        <v>82</v>
      </c>
    </row>
    <row r="300" spans="1:55" x14ac:dyDescent="0.2">
      <c r="A300" s="3" t="s">
        <v>15</v>
      </c>
      <c r="B300" s="3" t="s">
        <v>6</v>
      </c>
      <c r="C300" s="3">
        <v>14</v>
      </c>
      <c r="D300" s="3">
        <v>14.5</v>
      </c>
      <c r="E300" s="3">
        <v>14</v>
      </c>
      <c r="F300" s="3">
        <v>15</v>
      </c>
      <c r="G300" s="3">
        <v>-4.5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0.5</v>
      </c>
      <c r="R300">
        <v>1</v>
      </c>
      <c r="S300">
        <v>1</v>
      </c>
      <c r="T300">
        <f t="shared" si="36"/>
        <v>14</v>
      </c>
      <c r="U300">
        <f t="shared" si="37"/>
        <v>14.5</v>
      </c>
      <c r="V300">
        <f t="shared" si="38"/>
        <v>14</v>
      </c>
      <c r="W300">
        <f t="shared" si="39"/>
        <v>15</v>
      </c>
      <c r="X300">
        <f t="shared" si="35"/>
        <v>35.5</v>
      </c>
      <c r="Y300" t="str">
        <f>+VLOOKUP(A300,'[1]Tárgy kurzusai'!$A:$C,3,0)</f>
        <v>P:11:40-13:10(C 415)</v>
      </c>
      <c r="Z300">
        <f>+VLOOKUP(A300,'[1]Tárgy kurzusai'!$A:$F,6,0)</f>
        <v>6</v>
      </c>
      <c r="AA300" t="s">
        <v>49</v>
      </c>
      <c r="AB300" t="s">
        <v>71</v>
      </c>
      <c r="AC300" t="s">
        <v>51</v>
      </c>
      <c r="AD300" t="s">
        <v>68</v>
      </c>
      <c r="AE300" t="s">
        <v>69</v>
      </c>
      <c r="AF300" t="s">
        <v>69</v>
      </c>
      <c r="AG300" t="s">
        <v>55</v>
      </c>
      <c r="AH300" t="s">
        <v>55</v>
      </c>
      <c r="AI300" t="s">
        <v>55</v>
      </c>
      <c r="AJ300" t="s">
        <v>57</v>
      </c>
      <c r="AK300" t="s">
        <v>58</v>
      </c>
      <c r="AL300" t="s">
        <v>59</v>
      </c>
      <c r="AM300" t="s">
        <v>60</v>
      </c>
      <c r="AN300">
        <v>7</v>
      </c>
      <c r="AO300">
        <v>33</v>
      </c>
      <c r="AP300">
        <v>5</v>
      </c>
      <c r="AQ300">
        <v>14</v>
      </c>
      <c r="AR300" t="s">
        <v>55</v>
      </c>
      <c r="AS300" t="s">
        <v>55</v>
      </c>
      <c r="AT300" t="s">
        <v>56</v>
      </c>
      <c r="AU300" t="s">
        <v>62</v>
      </c>
      <c r="AV300" t="s">
        <v>63</v>
      </c>
      <c r="AW300" t="s">
        <v>60</v>
      </c>
      <c r="AX300" t="s">
        <v>60</v>
      </c>
      <c r="AY300" t="s">
        <v>60</v>
      </c>
      <c r="AZ300" t="s">
        <v>78</v>
      </c>
      <c r="BA300">
        <v>4</v>
      </c>
      <c r="BB300">
        <v>4</v>
      </c>
      <c r="BC300" t="s">
        <v>65</v>
      </c>
    </row>
    <row r="301" spans="1:55" x14ac:dyDescent="0.2">
      <c r="A301" s="3" t="s">
        <v>15</v>
      </c>
      <c r="B301" s="3" t="s">
        <v>6</v>
      </c>
      <c r="C301" s="19">
        <v>0</v>
      </c>
      <c r="D301" s="3">
        <v>8.5</v>
      </c>
      <c r="E301" s="3">
        <v>13</v>
      </c>
      <c r="F301" s="3">
        <v>10</v>
      </c>
      <c r="G301" s="3">
        <v>-16.5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0.5</v>
      </c>
      <c r="R301">
        <v>1</v>
      </c>
      <c r="S301">
        <v>1</v>
      </c>
      <c r="T301">
        <f t="shared" si="36"/>
        <v>0</v>
      </c>
      <c r="U301">
        <f t="shared" si="37"/>
        <v>8.5</v>
      </c>
      <c r="V301">
        <f t="shared" si="38"/>
        <v>13</v>
      </c>
      <c r="W301">
        <f t="shared" si="39"/>
        <v>10</v>
      </c>
      <c r="X301">
        <f t="shared" si="35"/>
        <v>23.5</v>
      </c>
      <c r="Y301" t="str">
        <f>+VLOOKUP(A301,'[1]Tárgy kurzusai'!$A:$C,3,0)</f>
        <v>P:11:40-13:10(C 415)</v>
      </c>
      <c r="Z301">
        <f>+VLOOKUP(A301,'[1]Tárgy kurzusai'!$A:$F,6,0)</f>
        <v>6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</row>
    <row r="302" spans="1:55" x14ac:dyDescent="0.2">
      <c r="A302" s="3" t="s">
        <v>15</v>
      </c>
      <c r="B302" s="3" t="s">
        <v>6</v>
      </c>
      <c r="C302" s="19">
        <v>0</v>
      </c>
      <c r="D302" s="19">
        <v>0</v>
      </c>
      <c r="E302" s="19">
        <v>0</v>
      </c>
      <c r="F302" s="19">
        <v>0</v>
      </c>
      <c r="G302" s="3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>
        <f t="shared" si="36"/>
        <v>0</v>
      </c>
      <c r="U302">
        <f t="shared" si="37"/>
        <v>0</v>
      </c>
      <c r="V302">
        <f t="shared" si="38"/>
        <v>0</v>
      </c>
      <c r="W302">
        <f t="shared" si="39"/>
        <v>0</v>
      </c>
      <c r="X302" t="e">
        <f t="shared" si="35"/>
        <v>#N/A</v>
      </c>
      <c r="Y302" t="str">
        <f>+VLOOKUP(A302,'[1]Tárgy kurzusai'!$A:$C,3,0)</f>
        <v>P:11:40-13:10(C 415)</v>
      </c>
      <c r="Z302">
        <f>+VLOOKUP(A302,'[1]Tárgy kurzusai'!$A:$F,6,0)</f>
        <v>6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</row>
    <row r="303" spans="1:55" x14ac:dyDescent="0.2">
      <c r="A303" s="3" t="s">
        <v>15</v>
      </c>
      <c r="B303" s="3" t="s">
        <v>6</v>
      </c>
      <c r="C303" s="3">
        <v>11</v>
      </c>
      <c r="D303" s="3">
        <v>11</v>
      </c>
      <c r="E303" s="3">
        <v>10.5</v>
      </c>
      <c r="F303" s="3">
        <v>13</v>
      </c>
      <c r="G303" s="3">
        <v>-7.5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0.75</v>
      </c>
      <c r="O303">
        <v>0.83</v>
      </c>
      <c r="P303">
        <v>1</v>
      </c>
      <c r="Q303">
        <v>0.5</v>
      </c>
      <c r="R303">
        <v>1</v>
      </c>
      <c r="S303">
        <v>1</v>
      </c>
      <c r="T303">
        <f t="shared" si="36"/>
        <v>11</v>
      </c>
      <c r="U303">
        <f t="shared" si="37"/>
        <v>11</v>
      </c>
      <c r="V303">
        <f t="shared" si="38"/>
        <v>10.5</v>
      </c>
      <c r="W303">
        <f t="shared" si="39"/>
        <v>13</v>
      </c>
      <c r="X303">
        <f t="shared" si="35"/>
        <v>32.5</v>
      </c>
      <c r="Y303" t="str">
        <f>+VLOOKUP(A303,'[1]Tárgy kurzusai'!$A:$C,3,0)</f>
        <v>P:11:40-13:10(C 415)</v>
      </c>
      <c r="Z303">
        <f>+VLOOKUP(A303,'[1]Tárgy kurzusai'!$A:$F,6,0)</f>
        <v>6</v>
      </c>
      <c r="AA303" t="s">
        <v>49</v>
      </c>
      <c r="AB303" t="s">
        <v>71</v>
      </c>
      <c r="AC303" t="s">
        <v>74</v>
      </c>
      <c r="AD303" t="s">
        <v>60</v>
      </c>
      <c r="AE303" t="s">
        <v>69</v>
      </c>
      <c r="AF303" t="s">
        <v>69</v>
      </c>
      <c r="AG303" t="s">
        <v>55</v>
      </c>
      <c r="AH303" t="s">
        <v>55</v>
      </c>
      <c r="AI303" t="s">
        <v>56</v>
      </c>
      <c r="AJ303" t="s">
        <v>57</v>
      </c>
      <c r="AK303" t="s">
        <v>58</v>
      </c>
      <c r="AL303" t="s">
        <v>59</v>
      </c>
      <c r="AM303" t="s">
        <v>60</v>
      </c>
      <c r="AN303">
        <v>6</v>
      </c>
      <c r="AO303">
        <v>33</v>
      </c>
      <c r="AP303">
        <v>5</v>
      </c>
      <c r="AQ303">
        <v>13</v>
      </c>
      <c r="AR303" t="s">
        <v>55</v>
      </c>
      <c r="AS303" t="s">
        <v>61</v>
      </c>
      <c r="AT303" t="s">
        <v>56</v>
      </c>
      <c r="AU303" t="s">
        <v>62</v>
      </c>
      <c r="AV303" t="s">
        <v>63</v>
      </c>
      <c r="AW303" t="s">
        <v>60</v>
      </c>
      <c r="AX303" t="s">
        <v>60</v>
      </c>
      <c r="AY303">
        <v>3</v>
      </c>
      <c r="AZ303" t="s">
        <v>64</v>
      </c>
      <c r="BA303">
        <v>6</v>
      </c>
      <c r="BB303">
        <v>3</v>
      </c>
      <c r="BC303" t="s">
        <v>70</v>
      </c>
    </row>
    <row r="304" spans="1:55" x14ac:dyDescent="0.2">
      <c r="A304" s="3" t="s">
        <v>15</v>
      </c>
      <c r="B304" s="3" t="s">
        <v>6</v>
      </c>
      <c r="C304" s="3">
        <v>8.5</v>
      </c>
      <c r="D304" s="3">
        <v>6</v>
      </c>
      <c r="E304" s="3">
        <v>13</v>
      </c>
      <c r="F304" s="3">
        <v>12</v>
      </c>
      <c r="G304" s="3">
        <v>-10.5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1</v>
      </c>
      <c r="Q304">
        <v>0.5</v>
      </c>
      <c r="R304">
        <v>1</v>
      </c>
      <c r="S304">
        <v>1</v>
      </c>
      <c r="T304">
        <f t="shared" si="36"/>
        <v>8.5</v>
      </c>
      <c r="U304">
        <f t="shared" si="37"/>
        <v>6</v>
      </c>
      <c r="V304">
        <f t="shared" si="38"/>
        <v>13</v>
      </c>
      <c r="W304">
        <f t="shared" si="39"/>
        <v>12</v>
      </c>
      <c r="X304">
        <f t="shared" si="35"/>
        <v>29.5</v>
      </c>
      <c r="Y304" t="str">
        <f>+VLOOKUP(A304,'[1]Tárgy kurzusai'!$A:$C,3,0)</f>
        <v>P:11:40-13:10(C 415)</v>
      </c>
      <c r="Z304">
        <f>+VLOOKUP(A304,'[1]Tárgy kurzusai'!$A:$F,6,0)</f>
        <v>6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</row>
    <row r="305" spans="1:55" x14ac:dyDescent="0.2">
      <c r="A305" s="3" t="s">
        <v>15</v>
      </c>
      <c r="B305" s="3" t="s">
        <v>6</v>
      </c>
      <c r="C305" s="3">
        <v>3</v>
      </c>
      <c r="D305" s="3">
        <v>9</v>
      </c>
      <c r="E305" s="3">
        <v>9</v>
      </c>
      <c r="F305" s="19">
        <v>0</v>
      </c>
      <c r="G305" s="3" t="e">
        <v>#N/A</v>
      </c>
      <c r="H305">
        <v>0.75</v>
      </c>
      <c r="I305">
        <v>1</v>
      </c>
      <c r="J305">
        <v>0.75</v>
      </c>
      <c r="K305">
        <v>1</v>
      </c>
      <c r="L305">
        <v>0</v>
      </c>
      <c r="M305">
        <v>0</v>
      </c>
      <c r="N305">
        <v>0.75</v>
      </c>
      <c r="O305">
        <v>0.25</v>
      </c>
      <c r="P305">
        <v>1</v>
      </c>
      <c r="Q305">
        <v>0.5</v>
      </c>
      <c r="R305">
        <v>1</v>
      </c>
      <c r="S305">
        <v>1</v>
      </c>
      <c r="T305">
        <f t="shared" si="36"/>
        <v>3</v>
      </c>
      <c r="U305">
        <f t="shared" si="37"/>
        <v>9</v>
      </c>
      <c r="V305">
        <f t="shared" si="38"/>
        <v>9</v>
      </c>
      <c r="W305">
        <f t="shared" si="39"/>
        <v>0</v>
      </c>
      <c r="X305" t="e">
        <f t="shared" si="35"/>
        <v>#N/A</v>
      </c>
      <c r="Y305" t="str">
        <f>+VLOOKUP(A305,'[1]Tárgy kurzusai'!$A:$C,3,0)</f>
        <v>P:11:40-13:10(C 415)</v>
      </c>
      <c r="Z305">
        <f>+VLOOKUP(A305,'[1]Tárgy kurzusai'!$A:$F,6,0)</f>
        <v>6</v>
      </c>
      <c r="AA305" t="s">
        <v>49</v>
      </c>
      <c r="AB305" t="s">
        <v>71</v>
      </c>
      <c r="AC305" t="s">
        <v>74</v>
      </c>
      <c r="AD305" t="s">
        <v>60</v>
      </c>
      <c r="AE305" t="s">
        <v>69</v>
      </c>
      <c r="AF305" t="s">
        <v>69</v>
      </c>
      <c r="AG305" t="s">
        <v>55</v>
      </c>
      <c r="AH305" t="s">
        <v>55</v>
      </c>
      <c r="AI305" t="s">
        <v>56</v>
      </c>
      <c r="AJ305" t="s">
        <v>57</v>
      </c>
      <c r="AK305" t="s">
        <v>58</v>
      </c>
      <c r="AL305" t="s">
        <v>59</v>
      </c>
      <c r="AM305" t="s">
        <v>60</v>
      </c>
      <c r="AN305">
        <v>7</v>
      </c>
      <c r="AO305">
        <v>34</v>
      </c>
      <c r="AP305">
        <v>5</v>
      </c>
      <c r="AQ305">
        <v>6</v>
      </c>
      <c r="AR305" t="s">
        <v>55</v>
      </c>
      <c r="AS305" t="s">
        <v>55</v>
      </c>
      <c r="AT305" t="s">
        <v>56</v>
      </c>
      <c r="AU305" t="s">
        <v>62</v>
      </c>
      <c r="AV305" t="s">
        <v>63</v>
      </c>
      <c r="AW305" t="s">
        <v>60</v>
      </c>
      <c r="AX305" t="s">
        <v>60</v>
      </c>
      <c r="AY305">
        <v>3</v>
      </c>
      <c r="AZ305" t="s">
        <v>64</v>
      </c>
      <c r="BA305">
        <v>6</v>
      </c>
      <c r="BB305">
        <v>6</v>
      </c>
      <c r="BC305" t="s">
        <v>82</v>
      </c>
    </row>
    <row r="306" spans="1:55" x14ac:dyDescent="0.2">
      <c r="A306" s="3" t="s">
        <v>15</v>
      </c>
      <c r="B306" s="3" t="s">
        <v>6</v>
      </c>
      <c r="C306" s="3">
        <v>1.5</v>
      </c>
      <c r="D306" s="3">
        <v>5.5</v>
      </c>
      <c r="E306" s="3">
        <v>7</v>
      </c>
      <c r="F306" s="3">
        <v>8</v>
      </c>
      <c r="G306" s="3">
        <v>-19.5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0.5</v>
      </c>
      <c r="P306">
        <v>1</v>
      </c>
      <c r="Q306">
        <v>0.5</v>
      </c>
      <c r="R306">
        <v>1</v>
      </c>
      <c r="S306">
        <v>1</v>
      </c>
      <c r="T306">
        <f t="shared" si="36"/>
        <v>1.5</v>
      </c>
      <c r="U306">
        <f t="shared" si="37"/>
        <v>5.5</v>
      </c>
      <c r="V306">
        <f t="shared" si="38"/>
        <v>7</v>
      </c>
      <c r="W306">
        <f t="shared" si="39"/>
        <v>8</v>
      </c>
      <c r="X306">
        <f t="shared" si="35"/>
        <v>20.5</v>
      </c>
      <c r="Y306" t="str">
        <f>+VLOOKUP(A306,'[1]Tárgy kurzusai'!$A:$C,3,0)</f>
        <v>P:11:40-13:10(C 415)</v>
      </c>
      <c r="Z306">
        <f>+VLOOKUP(A306,'[1]Tárgy kurzusai'!$A:$F,6,0)</f>
        <v>6</v>
      </c>
      <c r="AA306" t="s">
        <v>49</v>
      </c>
      <c r="AB306" t="s">
        <v>50</v>
      </c>
      <c r="AC306" t="s">
        <v>74</v>
      </c>
      <c r="AD306" t="s">
        <v>60</v>
      </c>
      <c r="AE306" t="s">
        <v>53</v>
      </c>
      <c r="AF306" t="s">
        <v>69</v>
      </c>
      <c r="AG306" t="s">
        <v>55</v>
      </c>
      <c r="AH306" t="s">
        <v>55</v>
      </c>
      <c r="AI306" t="s">
        <v>55</v>
      </c>
      <c r="AJ306" t="s">
        <v>57</v>
      </c>
      <c r="AK306" t="s">
        <v>79</v>
      </c>
      <c r="AL306" t="s">
        <v>59</v>
      </c>
      <c r="AM306" t="s">
        <v>60</v>
      </c>
      <c r="AN306">
        <v>8</v>
      </c>
      <c r="AO306">
        <v>34</v>
      </c>
      <c r="AP306">
        <v>5</v>
      </c>
      <c r="AQ306">
        <v>12</v>
      </c>
      <c r="AR306" t="s">
        <v>55</v>
      </c>
      <c r="AS306" t="s">
        <v>61</v>
      </c>
      <c r="AT306" t="s">
        <v>55</v>
      </c>
      <c r="AU306" t="s">
        <v>62</v>
      </c>
      <c r="AV306" t="s">
        <v>63</v>
      </c>
      <c r="AW306" t="s">
        <v>60</v>
      </c>
      <c r="AX306" t="s">
        <v>60</v>
      </c>
      <c r="AY306">
        <v>5</v>
      </c>
      <c r="AZ306" t="s">
        <v>64</v>
      </c>
      <c r="BA306">
        <v>7</v>
      </c>
      <c r="BB306">
        <v>5</v>
      </c>
      <c r="BC306" t="s">
        <v>70</v>
      </c>
    </row>
    <row r="307" spans="1:55" x14ac:dyDescent="0.2">
      <c r="A307" s="3" t="s">
        <v>15</v>
      </c>
      <c r="B307" s="3" t="s">
        <v>6</v>
      </c>
      <c r="C307" s="3">
        <v>6.5</v>
      </c>
      <c r="D307" s="3">
        <v>7.5</v>
      </c>
      <c r="E307" s="3">
        <v>10</v>
      </c>
      <c r="F307" s="3">
        <v>6.5</v>
      </c>
      <c r="G307" s="3">
        <v>-15</v>
      </c>
      <c r="H307">
        <v>1</v>
      </c>
      <c r="I307">
        <v>1</v>
      </c>
      <c r="J307">
        <v>1</v>
      </c>
      <c r="K307">
        <v>1</v>
      </c>
      <c r="L307">
        <v>0.5</v>
      </c>
      <c r="M307">
        <v>1</v>
      </c>
      <c r="N307">
        <v>0.75</v>
      </c>
      <c r="O307">
        <v>1</v>
      </c>
      <c r="P307">
        <v>1</v>
      </c>
      <c r="Q307">
        <v>0.5</v>
      </c>
      <c r="R307">
        <v>1</v>
      </c>
      <c r="S307">
        <v>1</v>
      </c>
      <c r="T307">
        <f t="shared" si="36"/>
        <v>6.5</v>
      </c>
      <c r="U307">
        <f t="shared" si="37"/>
        <v>7.5</v>
      </c>
      <c r="V307">
        <f t="shared" si="38"/>
        <v>10</v>
      </c>
      <c r="W307">
        <f t="shared" si="39"/>
        <v>6.5</v>
      </c>
      <c r="X307">
        <f t="shared" si="35"/>
        <v>25</v>
      </c>
      <c r="Y307" t="str">
        <f>+VLOOKUP(A307,'[1]Tárgy kurzusai'!$A:$C,3,0)</f>
        <v>P:11:40-13:10(C 415)</v>
      </c>
      <c r="Z307">
        <f>+VLOOKUP(A307,'[1]Tárgy kurzusai'!$A:$F,6,0)</f>
        <v>6</v>
      </c>
      <c r="AA307" t="s">
        <v>66</v>
      </c>
      <c r="AB307" t="s">
        <v>71</v>
      </c>
      <c r="AC307" t="s">
        <v>72</v>
      </c>
      <c r="AD307" t="s">
        <v>90</v>
      </c>
      <c r="AE307" t="s">
        <v>69</v>
      </c>
      <c r="AF307" t="s">
        <v>69</v>
      </c>
      <c r="AG307" t="s">
        <v>56</v>
      </c>
      <c r="AH307" t="s">
        <v>56</v>
      </c>
      <c r="AI307" t="s">
        <v>56</v>
      </c>
      <c r="AJ307" t="s">
        <v>57</v>
      </c>
      <c r="AK307" t="s">
        <v>58</v>
      </c>
      <c r="AL307" t="s">
        <v>59</v>
      </c>
      <c r="AM307" t="s">
        <v>60</v>
      </c>
      <c r="AN307">
        <v>8</v>
      </c>
      <c r="AO307">
        <v>36</v>
      </c>
      <c r="AP307">
        <v>5</v>
      </c>
      <c r="AQ307">
        <v>14</v>
      </c>
      <c r="AR307" t="s">
        <v>55</v>
      </c>
      <c r="AS307" t="s">
        <v>55</v>
      </c>
      <c r="AT307" t="s">
        <v>56</v>
      </c>
      <c r="AU307" t="s">
        <v>62</v>
      </c>
      <c r="AV307" t="s">
        <v>63</v>
      </c>
      <c r="AW307" t="s">
        <v>60</v>
      </c>
      <c r="AX307" t="s">
        <v>60</v>
      </c>
      <c r="AY307">
        <v>4</v>
      </c>
      <c r="AZ307" t="s">
        <v>78</v>
      </c>
      <c r="BA307">
        <v>7</v>
      </c>
      <c r="BB307">
        <v>6</v>
      </c>
      <c r="BC307" t="s">
        <v>76</v>
      </c>
    </row>
    <row r="308" spans="1:55" x14ac:dyDescent="0.2">
      <c r="A308" s="3" t="s">
        <v>15</v>
      </c>
      <c r="B308" s="3" t="s">
        <v>6</v>
      </c>
      <c r="C308" s="3">
        <v>10</v>
      </c>
      <c r="D308" s="3">
        <v>3</v>
      </c>
      <c r="E308" s="3">
        <v>12</v>
      </c>
      <c r="F308" s="3">
        <v>13.5</v>
      </c>
      <c r="G308" s="3">
        <v>-6</v>
      </c>
      <c r="H308">
        <v>0.75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0.5</v>
      </c>
      <c r="P308">
        <v>1</v>
      </c>
      <c r="Q308">
        <v>0.75</v>
      </c>
      <c r="R308">
        <v>1</v>
      </c>
      <c r="S308">
        <v>1</v>
      </c>
      <c r="T308">
        <f t="shared" si="36"/>
        <v>10</v>
      </c>
      <c r="U308">
        <f t="shared" si="37"/>
        <v>3</v>
      </c>
      <c r="V308">
        <f t="shared" si="38"/>
        <v>12</v>
      </c>
      <c r="W308">
        <f t="shared" si="39"/>
        <v>13.5</v>
      </c>
      <c r="X308">
        <f t="shared" si="35"/>
        <v>34</v>
      </c>
      <c r="Y308" t="str">
        <f>+VLOOKUP(A308,'[1]Tárgy kurzusai'!$A:$C,3,0)</f>
        <v>P:11:40-13:10(C 415)</v>
      </c>
      <c r="Z308">
        <f>+VLOOKUP(A308,'[1]Tárgy kurzusai'!$A:$F,6,0)</f>
        <v>6</v>
      </c>
      <c r="AA308" t="s">
        <v>66</v>
      </c>
      <c r="AB308" t="s">
        <v>71</v>
      </c>
      <c r="AC308" t="s">
        <v>51</v>
      </c>
      <c r="AD308" t="s">
        <v>68</v>
      </c>
      <c r="AE308" t="s">
        <v>69</v>
      </c>
      <c r="AF308" t="s">
        <v>69</v>
      </c>
      <c r="AG308" t="s">
        <v>55</v>
      </c>
      <c r="AH308" t="s">
        <v>55</v>
      </c>
      <c r="AI308" t="s">
        <v>55</v>
      </c>
      <c r="AJ308" t="s">
        <v>57</v>
      </c>
      <c r="AK308" t="s">
        <v>58</v>
      </c>
      <c r="AL308" t="s">
        <v>59</v>
      </c>
      <c r="AM308" t="s">
        <v>60</v>
      </c>
      <c r="AN308">
        <v>6</v>
      </c>
      <c r="AO308">
        <v>34</v>
      </c>
      <c r="AP308">
        <v>5</v>
      </c>
      <c r="AQ308">
        <v>6</v>
      </c>
      <c r="AR308" t="s">
        <v>55</v>
      </c>
      <c r="AS308" t="s">
        <v>55</v>
      </c>
      <c r="AT308" t="s">
        <v>56</v>
      </c>
      <c r="AU308" t="s">
        <v>62</v>
      </c>
      <c r="AV308" t="s">
        <v>63</v>
      </c>
      <c r="AW308" t="s">
        <v>60</v>
      </c>
      <c r="AX308" t="s">
        <v>60</v>
      </c>
      <c r="AY308">
        <v>4</v>
      </c>
      <c r="AZ308" t="s">
        <v>64</v>
      </c>
      <c r="BA308">
        <v>7</v>
      </c>
      <c r="BB308">
        <v>9</v>
      </c>
      <c r="BC308" t="s">
        <v>70</v>
      </c>
    </row>
    <row r="309" spans="1:55" x14ac:dyDescent="0.2">
      <c r="A309" s="3" t="s">
        <v>15</v>
      </c>
      <c r="B309" s="3" t="s">
        <v>6</v>
      </c>
      <c r="C309" s="3">
        <v>8</v>
      </c>
      <c r="D309" s="3">
        <v>11.5</v>
      </c>
      <c r="E309" s="3">
        <v>2.5</v>
      </c>
      <c r="F309" s="19">
        <v>0</v>
      </c>
      <c r="G309" s="3">
        <v>-10.5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0.75</v>
      </c>
      <c r="R309">
        <v>1</v>
      </c>
      <c r="S309">
        <v>1</v>
      </c>
      <c r="T309">
        <f t="shared" si="36"/>
        <v>8</v>
      </c>
      <c r="U309">
        <f t="shared" si="37"/>
        <v>11.5</v>
      </c>
      <c r="V309">
        <f t="shared" si="38"/>
        <v>2.5</v>
      </c>
      <c r="W309">
        <f t="shared" si="39"/>
        <v>0</v>
      </c>
      <c r="X309">
        <f t="shared" si="35"/>
        <v>29.5</v>
      </c>
      <c r="Y309" t="str">
        <f>+VLOOKUP(A309,'[1]Tárgy kurzusai'!$A:$C,3,0)</f>
        <v>P:11:40-13:10(C 415)</v>
      </c>
      <c r="Z309">
        <f>+VLOOKUP(A309,'[1]Tárgy kurzusai'!$A:$F,6,0)</f>
        <v>6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</row>
    <row r="310" spans="1:55" x14ac:dyDescent="0.2">
      <c r="A310" s="3" t="s">
        <v>15</v>
      </c>
      <c r="B310" s="3" t="s">
        <v>6</v>
      </c>
      <c r="C310" s="3">
        <v>16</v>
      </c>
      <c r="D310" s="3">
        <v>11</v>
      </c>
      <c r="E310" s="3">
        <v>16</v>
      </c>
      <c r="F310" s="3">
        <v>15.5</v>
      </c>
      <c r="G310" s="3">
        <v>-6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f t="shared" si="36"/>
        <v>16</v>
      </c>
      <c r="U310">
        <f t="shared" si="37"/>
        <v>11</v>
      </c>
      <c r="V310">
        <f t="shared" si="38"/>
        <v>16</v>
      </c>
      <c r="W310">
        <f t="shared" si="39"/>
        <v>15.5</v>
      </c>
      <c r="X310">
        <f t="shared" si="35"/>
        <v>34</v>
      </c>
      <c r="Y310" t="str">
        <f>+VLOOKUP(A310,'[1]Tárgy kurzusai'!$A:$C,3,0)</f>
        <v>P:11:40-13:10(C 415)</v>
      </c>
      <c r="Z310">
        <f>+VLOOKUP(A310,'[1]Tárgy kurzusai'!$A:$F,6,0)</f>
        <v>6</v>
      </c>
      <c r="AA310" t="s">
        <v>66</v>
      </c>
      <c r="AB310" t="s">
        <v>71</v>
      </c>
      <c r="AC310" t="s">
        <v>74</v>
      </c>
      <c r="AD310" t="s">
        <v>60</v>
      </c>
      <c r="AE310" t="s">
        <v>69</v>
      </c>
      <c r="AF310" t="s">
        <v>69</v>
      </c>
      <c r="AG310" t="s">
        <v>55</v>
      </c>
      <c r="AH310" t="s">
        <v>55</v>
      </c>
      <c r="AI310" t="s">
        <v>55</v>
      </c>
      <c r="AJ310" t="s">
        <v>57</v>
      </c>
      <c r="AK310" t="s">
        <v>58</v>
      </c>
      <c r="AL310" t="s">
        <v>59</v>
      </c>
      <c r="AM310" t="s">
        <v>60</v>
      </c>
      <c r="AN310">
        <v>8</v>
      </c>
      <c r="AO310">
        <v>37</v>
      </c>
      <c r="AP310">
        <v>5</v>
      </c>
      <c r="AQ310">
        <v>14</v>
      </c>
      <c r="AR310" t="s">
        <v>55</v>
      </c>
      <c r="AS310" t="s">
        <v>61</v>
      </c>
      <c r="AT310" t="s">
        <v>55</v>
      </c>
      <c r="AU310" t="s">
        <v>62</v>
      </c>
      <c r="AV310" t="s">
        <v>63</v>
      </c>
      <c r="AW310" t="s">
        <v>60</v>
      </c>
      <c r="AX310" t="s">
        <v>60</v>
      </c>
      <c r="AY310">
        <v>4</v>
      </c>
      <c r="AZ310" t="s">
        <v>64</v>
      </c>
      <c r="BA310">
        <v>6</v>
      </c>
      <c r="BB310">
        <v>4</v>
      </c>
      <c r="BC310" t="s">
        <v>76</v>
      </c>
    </row>
    <row r="311" spans="1:55" x14ac:dyDescent="0.2">
      <c r="A311" s="3" t="s">
        <v>16</v>
      </c>
      <c r="B311" s="3" t="s">
        <v>8</v>
      </c>
      <c r="C311" s="3">
        <v>15</v>
      </c>
      <c r="D311" s="3">
        <v>10.5</v>
      </c>
      <c r="E311" s="3">
        <v>16</v>
      </c>
      <c r="F311" s="3">
        <v>13.5</v>
      </c>
      <c r="G311" s="3">
        <v>37</v>
      </c>
      <c r="H311">
        <v>1</v>
      </c>
      <c r="I311">
        <v>1</v>
      </c>
      <c r="J311">
        <v>0.75</v>
      </c>
      <c r="K311">
        <v>0</v>
      </c>
      <c r="L311">
        <v>1</v>
      </c>
      <c r="M311">
        <v>1</v>
      </c>
      <c r="N311">
        <v>1</v>
      </c>
      <c r="O311">
        <v>0.67</v>
      </c>
      <c r="P311">
        <v>1</v>
      </c>
      <c r="Q311">
        <v>1</v>
      </c>
      <c r="R311">
        <v>1</v>
      </c>
      <c r="S311">
        <v>1</v>
      </c>
      <c r="T311">
        <f t="shared" ref="T311:T374" si="40">+C311</f>
        <v>15</v>
      </c>
      <c r="U311">
        <f t="shared" ref="U311:U374" si="41">+D311</f>
        <v>10.5</v>
      </c>
      <c r="V311">
        <f t="shared" ref="V311:V374" si="42">+E311</f>
        <v>16</v>
      </c>
      <c r="W311">
        <f t="shared" ref="W311:W374" si="43">+F311</f>
        <v>13.5</v>
      </c>
      <c r="X311">
        <f t="shared" ref="X311:X372" si="44">+G311</f>
        <v>37</v>
      </c>
      <c r="Y311" t="str">
        <f>+VLOOKUP(A311,'[1]Tárgy kurzusai'!$A:$C,3,0)</f>
        <v>SZE:15:30-17:00(E.3.324)</v>
      </c>
      <c r="Z311">
        <f>+VLOOKUP(A311,'[1]Tárgy kurzusai'!$A:$F,6,0)</f>
        <v>6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</row>
    <row r="312" spans="1:55" x14ac:dyDescent="0.2">
      <c r="A312" s="3" t="s">
        <v>16</v>
      </c>
      <c r="B312" s="3" t="s">
        <v>8</v>
      </c>
      <c r="C312" s="3">
        <v>7</v>
      </c>
      <c r="D312" s="3">
        <v>3</v>
      </c>
      <c r="E312" s="3">
        <v>13.5</v>
      </c>
      <c r="F312" s="3">
        <v>5</v>
      </c>
      <c r="G312" s="3">
        <v>16</v>
      </c>
      <c r="H312">
        <v>0.75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0.33</v>
      </c>
      <c r="P312">
        <v>1</v>
      </c>
      <c r="Q312">
        <v>0.5</v>
      </c>
      <c r="R312">
        <v>1</v>
      </c>
      <c r="S312">
        <v>1</v>
      </c>
      <c r="T312">
        <f t="shared" si="40"/>
        <v>7</v>
      </c>
      <c r="U312">
        <f t="shared" si="41"/>
        <v>3</v>
      </c>
      <c r="V312">
        <f t="shared" si="42"/>
        <v>13.5</v>
      </c>
      <c r="W312">
        <f t="shared" si="43"/>
        <v>5</v>
      </c>
      <c r="X312">
        <f t="shared" si="44"/>
        <v>16</v>
      </c>
      <c r="Y312" t="str">
        <f>+VLOOKUP(A312,'[1]Tárgy kurzusai'!$A:$C,3,0)</f>
        <v>SZE:15:30-17:00(E.3.324)</v>
      </c>
      <c r="Z312">
        <f>+VLOOKUP(A312,'[1]Tárgy kurzusai'!$A:$F,6,0)</f>
        <v>6</v>
      </c>
      <c r="AA312" t="s">
        <v>66</v>
      </c>
      <c r="AB312" t="s">
        <v>50</v>
      </c>
      <c r="AC312" t="s">
        <v>72</v>
      </c>
      <c r="AD312" t="s">
        <v>52</v>
      </c>
      <c r="AE312" t="s">
        <v>69</v>
      </c>
      <c r="AF312" t="s">
        <v>69</v>
      </c>
      <c r="AG312" t="s">
        <v>55</v>
      </c>
      <c r="AH312" t="s">
        <v>55</v>
      </c>
      <c r="AI312" t="s">
        <v>55</v>
      </c>
      <c r="AJ312" t="s">
        <v>57</v>
      </c>
      <c r="AK312" t="s">
        <v>79</v>
      </c>
      <c r="AL312" t="s">
        <v>96</v>
      </c>
      <c r="AM312">
        <v>0</v>
      </c>
      <c r="AN312">
        <v>8</v>
      </c>
      <c r="AO312">
        <v>36</v>
      </c>
      <c r="AP312">
        <v>6</v>
      </c>
      <c r="AQ312">
        <v>5</v>
      </c>
      <c r="AR312" t="s">
        <v>55</v>
      </c>
      <c r="AS312" t="s">
        <v>61</v>
      </c>
      <c r="AT312" t="s">
        <v>56</v>
      </c>
      <c r="AU312" t="s">
        <v>62</v>
      </c>
      <c r="AV312" t="s">
        <v>63</v>
      </c>
      <c r="AW312" t="s">
        <v>60</v>
      </c>
      <c r="AX312" t="s">
        <v>60</v>
      </c>
      <c r="AY312">
        <v>4</v>
      </c>
      <c r="AZ312" t="s">
        <v>78</v>
      </c>
      <c r="BA312">
        <v>7</v>
      </c>
      <c r="BB312">
        <v>6</v>
      </c>
      <c r="BC312" t="s">
        <v>82</v>
      </c>
    </row>
    <row r="313" spans="1:55" x14ac:dyDescent="0.2">
      <c r="A313" s="3" t="s">
        <v>16</v>
      </c>
      <c r="B313" s="3" t="s">
        <v>8</v>
      </c>
      <c r="C313" s="3">
        <v>16</v>
      </c>
      <c r="D313" s="3">
        <v>13</v>
      </c>
      <c r="E313" s="3">
        <v>16</v>
      </c>
      <c r="F313" s="3">
        <v>10</v>
      </c>
      <c r="G313" s="3">
        <v>32.5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f t="shared" si="40"/>
        <v>16</v>
      </c>
      <c r="U313">
        <f t="shared" si="41"/>
        <v>13</v>
      </c>
      <c r="V313">
        <f t="shared" si="42"/>
        <v>16</v>
      </c>
      <c r="W313">
        <f t="shared" si="43"/>
        <v>10</v>
      </c>
      <c r="X313">
        <f t="shared" si="44"/>
        <v>32.5</v>
      </c>
      <c r="Y313" t="str">
        <f>+VLOOKUP(A313,'[1]Tárgy kurzusai'!$A:$C,3,0)</f>
        <v>SZE:15:30-17:00(E.3.324)</v>
      </c>
      <c r="Z313">
        <f>+VLOOKUP(A313,'[1]Tárgy kurzusai'!$A:$F,6,0)</f>
        <v>6</v>
      </c>
      <c r="AA313" t="s">
        <v>66</v>
      </c>
      <c r="AB313" t="s">
        <v>71</v>
      </c>
      <c r="AC313" t="s">
        <v>74</v>
      </c>
      <c r="AD313" t="s">
        <v>60</v>
      </c>
      <c r="AE313" t="s">
        <v>53</v>
      </c>
      <c r="AF313" t="s">
        <v>69</v>
      </c>
      <c r="AG313" t="s">
        <v>55</v>
      </c>
      <c r="AH313" t="s">
        <v>55</v>
      </c>
      <c r="AI313" t="s">
        <v>56</v>
      </c>
      <c r="AJ313" t="s">
        <v>57</v>
      </c>
      <c r="AK313" t="s">
        <v>58</v>
      </c>
      <c r="AL313" t="s">
        <v>59</v>
      </c>
      <c r="AM313" t="s">
        <v>60</v>
      </c>
      <c r="AN313">
        <v>7</v>
      </c>
      <c r="AO313">
        <v>36</v>
      </c>
      <c r="AP313">
        <v>6</v>
      </c>
      <c r="AQ313">
        <v>5</v>
      </c>
      <c r="AR313" t="s">
        <v>55</v>
      </c>
      <c r="AS313" t="s">
        <v>61</v>
      </c>
      <c r="AT313" t="s">
        <v>56</v>
      </c>
      <c r="AU313" t="s">
        <v>62</v>
      </c>
      <c r="AV313" t="s">
        <v>63</v>
      </c>
      <c r="AW313" t="s">
        <v>60</v>
      </c>
      <c r="AX313" t="s">
        <v>60</v>
      </c>
      <c r="AY313">
        <v>4</v>
      </c>
      <c r="AZ313" t="s">
        <v>64</v>
      </c>
      <c r="BA313">
        <v>3</v>
      </c>
      <c r="BB313">
        <v>7</v>
      </c>
      <c r="BC313" t="s">
        <v>76</v>
      </c>
    </row>
    <row r="314" spans="1:55" x14ac:dyDescent="0.2">
      <c r="A314" s="3" t="s">
        <v>16</v>
      </c>
      <c r="B314" s="3" t="s">
        <v>8</v>
      </c>
      <c r="C314" s="3">
        <v>11</v>
      </c>
      <c r="D314" s="3">
        <v>9</v>
      </c>
      <c r="E314" s="3">
        <v>10</v>
      </c>
      <c r="F314" s="3">
        <v>8</v>
      </c>
      <c r="G314" s="3">
        <v>27.5</v>
      </c>
      <c r="H314">
        <v>1</v>
      </c>
      <c r="I314">
        <v>1</v>
      </c>
      <c r="J314">
        <v>1</v>
      </c>
      <c r="K314">
        <v>1</v>
      </c>
      <c r="L314">
        <v>0.5</v>
      </c>
      <c r="M314">
        <v>1</v>
      </c>
      <c r="N314">
        <v>1</v>
      </c>
      <c r="O314">
        <v>1</v>
      </c>
      <c r="P314">
        <v>1</v>
      </c>
      <c r="Q314">
        <v>0.5</v>
      </c>
      <c r="R314">
        <v>1</v>
      </c>
      <c r="S314">
        <v>1</v>
      </c>
      <c r="T314">
        <f t="shared" si="40"/>
        <v>11</v>
      </c>
      <c r="U314">
        <f t="shared" si="41"/>
        <v>9</v>
      </c>
      <c r="V314">
        <f t="shared" si="42"/>
        <v>10</v>
      </c>
      <c r="W314">
        <f t="shared" si="43"/>
        <v>8</v>
      </c>
      <c r="X314">
        <f t="shared" si="44"/>
        <v>27.5</v>
      </c>
      <c r="Y314" t="str">
        <f>+VLOOKUP(A314,'[1]Tárgy kurzusai'!$A:$C,3,0)</f>
        <v>SZE:15:30-17:00(E.3.324)</v>
      </c>
      <c r="Z314">
        <f>+VLOOKUP(A314,'[1]Tárgy kurzusai'!$A:$F,6,0)</f>
        <v>6</v>
      </c>
      <c r="AA314" t="s">
        <v>49</v>
      </c>
      <c r="AB314" t="s">
        <v>80</v>
      </c>
      <c r="AC314" t="s">
        <v>72</v>
      </c>
      <c r="AD314" t="s">
        <v>94</v>
      </c>
      <c r="AE314" t="s">
        <v>69</v>
      </c>
      <c r="AF314" t="s">
        <v>53</v>
      </c>
      <c r="AG314" t="s">
        <v>56</v>
      </c>
      <c r="AH314" t="s">
        <v>55</v>
      </c>
      <c r="AI314" t="s">
        <v>55</v>
      </c>
      <c r="AJ314" t="s">
        <v>57</v>
      </c>
      <c r="AK314" t="s">
        <v>58</v>
      </c>
      <c r="AL314" t="s">
        <v>59</v>
      </c>
      <c r="AM314" t="s">
        <v>60</v>
      </c>
      <c r="AN314">
        <v>7</v>
      </c>
      <c r="AO314">
        <v>33</v>
      </c>
      <c r="AP314">
        <v>5</v>
      </c>
      <c r="AQ314">
        <v>4</v>
      </c>
      <c r="AR314" t="s">
        <v>55</v>
      </c>
      <c r="AS314" t="s">
        <v>55</v>
      </c>
      <c r="AT314" t="s">
        <v>55</v>
      </c>
      <c r="AU314" t="s">
        <v>62</v>
      </c>
      <c r="AV314" t="s">
        <v>63</v>
      </c>
      <c r="AW314" t="s">
        <v>60</v>
      </c>
      <c r="AX314" t="s">
        <v>60</v>
      </c>
      <c r="AY314">
        <v>2</v>
      </c>
      <c r="AZ314" t="s">
        <v>64</v>
      </c>
      <c r="BA314">
        <v>6</v>
      </c>
      <c r="BB314">
        <v>6</v>
      </c>
      <c r="BC314" t="s">
        <v>70</v>
      </c>
    </row>
    <row r="315" spans="1:55" x14ac:dyDescent="0.2">
      <c r="A315" s="3" t="s">
        <v>16</v>
      </c>
      <c r="B315" s="3" t="s">
        <v>8</v>
      </c>
      <c r="C315" s="3">
        <v>0</v>
      </c>
      <c r="D315" s="3">
        <v>5.5</v>
      </c>
      <c r="E315" s="3">
        <v>12</v>
      </c>
      <c r="F315" s="3">
        <v>11</v>
      </c>
      <c r="G315" s="3">
        <v>26</v>
      </c>
      <c r="H315">
        <v>1</v>
      </c>
      <c r="I315">
        <v>0.75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0.5</v>
      </c>
      <c r="P315">
        <v>1</v>
      </c>
      <c r="Q315">
        <v>0.75</v>
      </c>
      <c r="R315">
        <v>1</v>
      </c>
      <c r="S315">
        <v>1</v>
      </c>
      <c r="T315">
        <f t="shared" si="40"/>
        <v>0</v>
      </c>
      <c r="U315">
        <f t="shared" si="41"/>
        <v>5.5</v>
      </c>
      <c r="V315">
        <f t="shared" si="42"/>
        <v>12</v>
      </c>
      <c r="W315">
        <f t="shared" si="43"/>
        <v>11</v>
      </c>
      <c r="X315">
        <f t="shared" si="44"/>
        <v>26</v>
      </c>
      <c r="Y315" t="str">
        <f>+VLOOKUP(A315,'[1]Tárgy kurzusai'!$A:$C,3,0)</f>
        <v>SZE:15:30-17:00(E.3.324)</v>
      </c>
      <c r="Z315">
        <f>+VLOOKUP(A315,'[1]Tárgy kurzusai'!$A:$F,6,0)</f>
        <v>6</v>
      </c>
      <c r="AA315" t="s">
        <v>66</v>
      </c>
      <c r="AB315" t="s">
        <v>80</v>
      </c>
      <c r="AC315" t="s">
        <v>74</v>
      </c>
      <c r="AD315" t="s">
        <v>60</v>
      </c>
      <c r="AE315" t="s">
        <v>69</v>
      </c>
      <c r="AF315" t="s">
        <v>69</v>
      </c>
      <c r="AG315" t="s">
        <v>55</v>
      </c>
      <c r="AH315" t="s">
        <v>55</v>
      </c>
      <c r="AI315" t="s">
        <v>55</v>
      </c>
      <c r="AJ315" t="s">
        <v>57</v>
      </c>
      <c r="AK315" t="s">
        <v>79</v>
      </c>
      <c r="AL315" t="s">
        <v>59</v>
      </c>
      <c r="AM315" t="s">
        <v>60</v>
      </c>
      <c r="AN315">
        <v>9</v>
      </c>
      <c r="AO315">
        <v>40</v>
      </c>
      <c r="AP315">
        <v>5</v>
      </c>
      <c r="AQ315">
        <v>3</v>
      </c>
      <c r="AR315" t="s">
        <v>55</v>
      </c>
      <c r="AS315" t="s">
        <v>61</v>
      </c>
      <c r="AT315" t="s">
        <v>56</v>
      </c>
      <c r="AU315" t="s">
        <v>62</v>
      </c>
      <c r="AV315" t="s">
        <v>63</v>
      </c>
      <c r="AW315" t="s">
        <v>60</v>
      </c>
      <c r="AX315" t="s">
        <v>60</v>
      </c>
      <c r="AY315">
        <v>4</v>
      </c>
      <c r="AZ315" t="s">
        <v>64</v>
      </c>
      <c r="BA315">
        <v>8</v>
      </c>
      <c r="BB315">
        <v>7</v>
      </c>
      <c r="BC315" t="s">
        <v>70</v>
      </c>
    </row>
    <row r="316" spans="1:55" x14ac:dyDescent="0.2">
      <c r="A316" s="3" t="s">
        <v>16</v>
      </c>
      <c r="B316" s="3" t="s">
        <v>8</v>
      </c>
      <c r="C316" s="3">
        <v>11</v>
      </c>
      <c r="D316" s="3">
        <v>11</v>
      </c>
      <c r="E316" s="3">
        <v>16</v>
      </c>
      <c r="F316" s="3">
        <v>15</v>
      </c>
      <c r="G316" s="3">
        <v>31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0.75</v>
      </c>
      <c r="N316">
        <v>1</v>
      </c>
      <c r="O316">
        <v>0.83</v>
      </c>
      <c r="P316">
        <v>1</v>
      </c>
      <c r="Q316">
        <v>1</v>
      </c>
      <c r="R316">
        <v>1</v>
      </c>
      <c r="S316">
        <v>0</v>
      </c>
      <c r="T316">
        <f t="shared" si="40"/>
        <v>11</v>
      </c>
      <c r="U316">
        <f t="shared" si="41"/>
        <v>11</v>
      </c>
      <c r="V316">
        <f t="shared" si="42"/>
        <v>16</v>
      </c>
      <c r="W316">
        <f t="shared" si="43"/>
        <v>15</v>
      </c>
      <c r="X316">
        <f t="shared" si="44"/>
        <v>31</v>
      </c>
      <c r="Y316" t="str">
        <f>+VLOOKUP(A316,'[1]Tárgy kurzusai'!$A:$C,3,0)</f>
        <v>SZE:15:30-17:00(E.3.324)</v>
      </c>
      <c r="Z316">
        <f>+VLOOKUP(A316,'[1]Tárgy kurzusai'!$A:$F,6,0)</f>
        <v>6</v>
      </c>
      <c r="AA316" t="s">
        <v>66</v>
      </c>
      <c r="AB316" t="s">
        <v>113</v>
      </c>
      <c r="AC316" t="s">
        <v>51</v>
      </c>
      <c r="AD316" t="s">
        <v>87</v>
      </c>
      <c r="AE316" t="s">
        <v>112</v>
      </c>
      <c r="AF316" t="s">
        <v>112</v>
      </c>
      <c r="AG316" t="s">
        <v>56</v>
      </c>
      <c r="AH316" t="s">
        <v>56</v>
      </c>
      <c r="AI316" t="s">
        <v>55</v>
      </c>
      <c r="AJ316" t="s">
        <v>57</v>
      </c>
      <c r="AK316" t="s">
        <v>58</v>
      </c>
      <c r="AL316" t="s">
        <v>59</v>
      </c>
      <c r="AM316" t="s">
        <v>60</v>
      </c>
      <c r="AN316">
        <v>8</v>
      </c>
      <c r="AO316">
        <v>34</v>
      </c>
      <c r="AP316">
        <v>4</v>
      </c>
      <c r="AQ316">
        <v>13</v>
      </c>
      <c r="AR316" t="s">
        <v>55</v>
      </c>
      <c r="AS316" t="s">
        <v>61</v>
      </c>
      <c r="AT316" t="s">
        <v>55</v>
      </c>
      <c r="AU316" t="s">
        <v>62</v>
      </c>
      <c r="AV316" t="s">
        <v>63</v>
      </c>
      <c r="AW316" t="s">
        <v>60</v>
      </c>
      <c r="AX316" t="s">
        <v>60</v>
      </c>
      <c r="AY316">
        <v>3</v>
      </c>
      <c r="AZ316" t="s">
        <v>64</v>
      </c>
      <c r="BA316">
        <v>5</v>
      </c>
      <c r="BB316">
        <v>3</v>
      </c>
      <c r="BC316" t="s">
        <v>76</v>
      </c>
    </row>
    <row r="317" spans="1:55" x14ac:dyDescent="0.2">
      <c r="A317" s="3" t="s">
        <v>16</v>
      </c>
      <c r="B317" s="3" t="s">
        <v>8</v>
      </c>
      <c r="C317" s="3">
        <v>12</v>
      </c>
      <c r="D317" s="3">
        <v>15</v>
      </c>
      <c r="E317" s="3">
        <v>8</v>
      </c>
      <c r="F317" s="3">
        <v>10</v>
      </c>
      <c r="G317" s="3">
        <v>31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f t="shared" si="40"/>
        <v>12</v>
      </c>
      <c r="U317">
        <f t="shared" si="41"/>
        <v>15</v>
      </c>
      <c r="V317">
        <f t="shared" si="42"/>
        <v>8</v>
      </c>
      <c r="W317">
        <f t="shared" si="43"/>
        <v>10</v>
      </c>
      <c r="X317">
        <f t="shared" si="44"/>
        <v>31</v>
      </c>
      <c r="Y317" t="str">
        <f>+VLOOKUP(A317,'[1]Tárgy kurzusai'!$A:$C,3,0)</f>
        <v>SZE:15:30-17:00(E.3.324)</v>
      </c>
      <c r="Z317">
        <f>+VLOOKUP(A317,'[1]Tárgy kurzusai'!$A:$F,6,0)</f>
        <v>6</v>
      </c>
      <c r="AA317" t="s">
        <v>49</v>
      </c>
      <c r="AB317" t="s">
        <v>80</v>
      </c>
      <c r="AC317" t="s">
        <v>75</v>
      </c>
      <c r="AD317" t="s">
        <v>90</v>
      </c>
      <c r="AE317" t="s">
        <v>69</v>
      </c>
      <c r="AF317" t="s">
        <v>53</v>
      </c>
      <c r="AG317" t="s">
        <v>56</v>
      </c>
      <c r="AH317" t="s">
        <v>56</v>
      </c>
      <c r="AI317" t="s">
        <v>55</v>
      </c>
      <c r="AJ317" t="s">
        <v>57</v>
      </c>
      <c r="AK317" t="s">
        <v>58</v>
      </c>
      <c r="AL317" t="s">
        <v>59</v>
      </c>
      <c r="AM317" t="s">
        <v>60</v>
      </c>
      <c r="AN317">
        <v>7</v>
      </c>
      <c r="AO317">
        <v>31</v>
      </c>
      <c r="AP317">
        <v>4</v>
      </c>
      <c r="AQ317">
        <v>4</v>
      </c>
      <c r="AR317" t="s">
        <v>55</v>
      </c>
      <c r="AS317" t="s">
        <v>61</v>
      </c>
      <c r="AT317" t="s">
        <v>55</v>
      </c>
      <c r="AU317" t="s">
        <v>62</v>
      </c>
      <c r="AV317" t="s">
        <v>63</v>
      </c>
      <c r="AW317" t="s">
        <v>60</v>
      </c>
      <c r="AX317" t="s">
        <v>60</v>
      </c>
      <c r="AY317">
        <v>4</v>
      </c>
      <c r="AZ317" t="s">
        <v>64</v>
      </c>
      <c r="BA317">
        <v>5</v>
      </c>
      <c r="BB317">
        <v>6</v>
      </c>
      <c r="BC317" t="s">
        <v>65</v>
      </c>
    </row>
    <row r="318" spans="1:55" x14ac:dyDescent="0.2">
      <c r="A318" s="3" t="s">
        <v>16</v>
      </c>
      <c r="B318" s="3" t="s">
        <v>8</v>
      </c>
      <c r="C318" s="3">
        <v>13.5</v>
      </c>
      <c r="D318" s="3">
        <v>11.5</v>
      </c>
      <c r="E318" s="3">
        <v>10</v>
      </c>
      <c r="F318" s="3">
        <v>15</v>
      </c>
      <c r="G318" s="3">
        <v>37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0.75</v>
      </c>
      <c r="R318">
        <v>1</v>
      </c>
      <c r="S318">
        <v>1</v>
      </c>
      <c r="T318">
        <f t="shared" si="40"/>
        <v>13.5</v>
      </c>
      <c r="U318">
        <f t="shared" si="41"/>
        <v>11.5</v>
      </c>
      <c r="V318">
        <f t="shared" si="42"/>
        <v>10</v>
      </c>
      <c r="W318">
        <f t="shared" si="43"/>
        <v>15</v>
      </c>
      <c r="X318">
        <f t="shared" si="44"/>
        <v>37</v>
      </c>
      <c r="Y318" t="str">
        <f>+VLOOKUP(A318,'[1]Tárgy kurzusai'!$A:$C,3,0)</f>
        <v>SZE:15:30-17:00(E.3.324)</v>
      </c>
      <c r="Z318">
        <f>+VLOOKUP(A318,'[1]Tárgy kurzusai'!$A:$F,6,0)</f>
        <v>6</v>
      </c>
      <c r="AA318" t="s">
        <v>49</v>
      </c>
      <c r="AB318" t="s">
        <v>50</v>
      </c>
      <c r="AC318" t="s">
        <v>72</v>
      </c>
      <c r="AD318" t="s">
        <v>100</v>
      </c>
      <c r="AE318" t="s">
        <v>69</v>
      </c>
      <c r="AF318" t="s">
        <v>53</v>
      </c>
      <c r="AG318" t="s">
        <v>55</v>
      </c>
      <c r="AH318" t="s">
        <v>55</v>
      </c>
      <c r="AI318" t="s">
        <v>55</v>
      </c>
      <c r="AJ318" t="s">
        <v>57</v>
      </c>
      <c r="AK318" t="s">
        <v>58</v>
      </c>
      <c r="AL318" t="s">
        <v>59</v>
      </c>
      <c r="AM318" t="s">
        <v>60</v>
      </c>
      <c r="AN318">
        <v>6</v>
      </c>
      <c r="AO318">
        <v>32</v>
      </c>
      <c r="AP318">
        <v>5</v>
      </c>
      <c r="AQ318">
        <v>12</v>
      </c>
      <c r="AR318" t="s">
        <v>55</v>
      </c>
      <c r="AS318" t="s">
        <v>61</v>
      </c>
      <c r="AT318" t="s">
        <v>55</v>
      </c>
      <c r="AU318" t="s">
        <v>62</v>
      </c>
      <c r="AV318" t="s">
        <v>63</v>
      </c>
      <c r="AW318" t="s">
        <v>60</v>
      </c>
      <c r="AX318" t="s">
        <v>60</v>
      </c>
      <c r="AY318">
        <v>3</v>
      </c>
      <c r="AZ318" t="s">
        <v>64</v>
      </c>
      <c r="BA318">
        <v>6</v>
      </c>
      <c r="BB318">
        <v>6</v>
      </c>
      <c r="BC318" t="s">
        <v>65</v>
      </c>
    </row>
    <row r="319" spans="1:55" x14ac:dyDescent="0.2">
      <c r="A319" s="3" t="s">
        <v>16</v>
      </c>
      <c r="B319" s="3" t="s">
        <v>8</v>
      </c>
      <c r="C319" s="3">
        <v>12.5</v>
      </c>
      <c r="D319" s="3">
        <v>1.5</v>
      </c>
      <c r="E319" s="3">
        <v>9</v>
      </c>
      <c r="F319" s="3">
        <v>13</v>
      </c>
      <c r="G319" s="3">
        <v>24.5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0.5</v>
      </c>
      <c r="R319">
        <v>1</v>
      </c>
      <c r="S319">
        <v>1</v>
      </c>
      <c r="T319">
        <f t="shared" si="40"/>
        <v>12.5</v>
      </c>
      <c r="U319">
        <f t="shared" si="41"/>
        <v>1.5</v>
      </c>
      <c r="V319">
        <f t="shared" si="42"/>
        <v>9</v>
      </c>
      <c r="W319">
        <f t="shared" si="43"/>
        <v>13</v>
      </c>
      <c r="X319">
        <f t="shared" si="44"/>
        <v>24.5</v>
      </c>
      <c r="Y319" t="str">
        <f>+VLOOKUP(A319,'[1]Tárgy kurzusai'!$A:$C,3,0)</f>
        <v>SZE:15:30-17:00(E.3.324)</v>
      </c>
      <c r="Z319">
        <f>+VLOOKUP(A319,'[1]Tárgy kurzusai'!$A:$F,6,0)</f>
        <v>6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</row>
    <row r="320" spans="1:55" x14ac:dyDescent="0.2">
      <c r="A320" s="3" t="s">
        <v>16</v>
      </c>
      <c r="B320" s="3" t="s">
        <v>8</v>
      </c>
      <c r="C320" s="3">
        <v>16</v>
      </c>
      <c r="D320" s="3">
        <v>6</v>
      </c>
      <c r="E320" s="20">
        <v>16</v>
      </c>
      <c r="F320" s="3">
        <v>14</v>
      </c>
      <c r="G320" s="3">
        <v>34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0.75</v>
      </c>
      <c r="O320">
        <v>1</v>
      </c>
      <c r="P320">
        <v>1</v>
      </c>
      <c r="Q320">
        <v>0.75</v>
      </c>
      <c r="R320">
        <v>1</v>
      </c>
      <c r="S320">
        <v>1</v>
      </c>
      <c r="T320">
        <f t="shared" si="40"/>
        <v>16</v>
      </c>
      <c r="U320">
        <f t="shared" si="41"/>
        <v>6</v>
      </c>
      <c r="V320">
        <f t="shared" si="42"/>
        <v>16</v>
      </c>
      <c r="W320">
        <f t="shared" si="43"/>
        <v>14</v>
      </c>
      <c r="X320">
        <f t="shared" si="44"/>
        <v>34</v>
      </c>
      <c r="Y320" t="str">
        <f>+VLOOKUP(A320,'[1]Tárgy kurzusai'!$A:$C,3,0)</f>
        <v>SZE:15:30-17:00(E.3.324)</v>
      </c>
      <c r="Z320">
        <f>+VLOOKUP(A320,'[1]Tárgy kurzusai'!$A:$F,6,0)</f>
        <v>6</v>
      </c>
      <c r="AA320" t="s">
        <v>49</v>
      </c>
      <c r="AB320" t="s">
        <v>50</v>
      </c>
      <c r="AC320" t="s">
        <v>51</v>
      </c>
      <c r="AD320" t="s">
        <v>73</v>
      </c>
      <c r="AE320" t="s">
        <v>53</v>
      </c>
      <c r="AF320" t="s">
        <v>54</v>
      </c>
      <c r="AG320" t="s">
        <v>55</v>
      </c>
      <c r="AH320" t="s">
        <v>55</v>
      </c>
      <c r="AI320" t="s">
        <v>55</v>
      </c>
      <c r="AJ320" t="s">
        <v>57</v>
      </c>
      <c r="AK320" t="s">
        <v>58</v>
      </c>
      <c r="AL320" t="s">
        <v>59</v>
      </c>
      <c r="AM320" t="s">
        <v>60</v>
      </c>
      <c r="AN320">
        <v>7</v>
      </c>
      <c r="AO320">
        <v>34</v>
      </c>
      <c r="AP320">
        <v>5</v>
      </c>
      <c r="AQ320">
        <v>13</v>
      </c>
      <c r="AR320" t="s">
        <v>55</v>
      </c>
      <c r="AS320" t="s">
        <v>61</v>
      </c>
      <c r="AT320" t="s">
        <v>56</v>
      </c>
      <c r="AU320" t="s">
        <v>62</v>
      </c>
      <c r="AV320" t="s">
        <v>63</v>
      </c>
      <c r="AW320" t="s">
        <v>60</v>
      </c>
      <c r="AX320" t="s">
        <v>60</v>
      </c>
      <c r="AY320">
        <v>3</v>
      </c>
      <c r="AZ320" t="s">
        <v>64</v>
      </c>
      <c r="BA320">
        <v>5</v>
      </c>
      <c r="BB320">
        <v>7</v>
      </c>
      <c r="BC320" t="s">
        <v>65</v>
      </c>
    </row>
    <row r="321" spans="1:55" x14ac:dyDescent="0.2">
      <c r="A321" s="3" t="s">
        <v>16</v>
      </c>
      <c r="B321" s="3" t="s">
        <v>8</v>
      </c>
      <c r="C321" s="3">
        <v>11.5</v>
      </c>
      <c r="D321" s="3">
        <v>4</v>
      </c>
      <c r="E321" s="3">
        <v>11.5</v>
      </c>
      <c r="F321" s="3">
        <v>9</v>
      </c>
      <c r="G321" s="3">
        <v>28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0.25</v>
      </c>
      <c r="R321">
        <v>1</v>
      </c>
      <c r="S321">
        <v>1</v>
      </c>
      <c r="T321">
        <f t="shared" si="40"/>
        <v>11.5</v>
      </c>
      <c r="U321">
        <f t="shared" si="41"/>
        <v>4</v>
      </c>
      <c r="V321">
        <f t="shared" si="42"/>
        <v>11.5</v>
      </c>
      <c r="W321">
        <f t="shared" si="43"/>
        <v>9</v>
      </c>
      <c r="X321">
        <f t="shared" si="44"/>
        <v>28</v>
      </c>
      <c r="Y321" t="str">
        <f>+VLOOKUP(A321,'[1]Tárgy kurzusai'!$A:$C,3,0)</f>
        <v>SZE:15:30-17:00(E.3.324)</v>
      </c>
      <c r="Z321">
        <f>+VLOOKUP(A321,'[1]Tárgy kurzusai'!$A:$F,6,0)</f>
        <v>6</v>
      </c>
      <c r="AA321" t="s">
        <v>49</v>
      </c>
      <c r="AB321" t="s">
        <v>80</v>
      </c>
      <c r="AC321" t="s">
        <v>72</v>
      </c>
      <c r="AD321" t="s">
        <v>52</v>
      </c>
      <c r="AE321" t="s">
        <v>69</v>
      </c>
      <c r="AF321" t="s">
        <v>69</v>
      </c>
      <c r="AG321" t="s">
        <v>55</v>
      </c>
      <c r="AH321" t="s">
        <v>55</v>
      </c>
      <c r="AI321" t="s">
        <v>55</v>
      </c>
      <c r="AJ321" t="s">
        <v>57</v>
      </c>
      <c r="AK321" t="s">
        <v>58</v>
      </c>
      <c r="AL321" t="s">
        <v>59</v>
      </c>
      <c r="AM321" t="s">
        <v>60</v>
      </c>
      <c r="AN321">
        <v>5</v>
      </c>
      <c r="AO321">
        <v>30</v>
      </c>
      <c r="AP321">
        <v>5</v>
      </c>
      <c r="AQ321">
        <v>11</v>
      </c>
      <c r="AR321" t="s">
        <v>55</v>
      </c>
      <c r="AS321" t="s">
        <v>61</v>
      </c>
      <c r="AT321" t="s">
        <v>56</v>
      </c>
      <c r="AU321" t="s">
        <v>62</v>
      </c>
      <c r="AV321" t="s">
        <v>63</v>
      </c>
      <c r="AW321" t="s">
        <v>60</v>
      </c>
      <c r="AX321" t="s">
        <v>60</v>
      </c>
      <c r="AY321">
        <v>3</v>
      </c>
      <c r="AZ321" t="s">
        <v>64</v>
      </c>
      <c r="BA321">
        <v>8</v>
      </c>
      <c r="BB321">
        <v>9</v>
      </c>
      <c r="BC321" t="s">
        <v>70</v>
      </c>
    </row>
    <row r="322" spans="1:55" x14ac:dyDescent="0.2">
      <c r="A322" s="3" t="s">
        <v>16</v>
      </c>
      <c r="B322" s="3" t="s">
        <v>8</v>
      </c>
      <c r="C322" s="3">
        <v>10.5</v>
      </c>
      <c r="D322" s="3">
        <v>8</v>
      </c>
      <c r="E322" s="3">
        <v>13.5</v>
      </c>
      <c r="F322" s="3">
        <v>15</v>
      </c>
      <c r="G322" s="3">
        <v>29.5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f t="shared" si="40"/>
        <v>10.5</v>
      </c>
      <c r="U322">
        <f t="shared" si="41"/>
        <v>8</v>
      </c>
      <c r="V322">
        <f t="shared" si="42"/>
        <v>13.5</v>
      </c>
      <c r="W322">
        <f t="shared" si="43"/>
        <v>15</v>
      </c>
      <c r="X322">
        <f t="shared" si="44"/>
        <v>29.5</v>
      </c>
      <c r="Y322" t="str">
        <f>+VLOOKUP(A322,'[1]Tárgy kurzusai'!$A:$C,3,0)</f>
        <v>SZE:15:30-17:00(E.3.324)</v>
      </c>
      <c r="Z322">
        <f>+VLOOKUP(A322,'[1]Tárgy kurzusai'!$A:$F,6,0)</f>
        <v>6</v>
      </c>
      <c r="AA322" t="s">
        <v>49</v>
      </c>
      <c r="AB322" t="s">
        <v>71</v>
      </c>
      <c r="AC322" t="s">
        <v>75</v>
      </c>
      <c r="AD322" t="s">
        <v>84</v>
      </c>
      <c r="AE322" t="s">
        <v>69</v>
      </c>
      <c r="AF322" t="s">
        <v>69</v>
      </c>
      <c r="AG322" t="s">
        <v>56</v>
      </c>
      <c r="AH322" t="s">
        <v>55</v>
      </c>
      <c r="AI322" t="s">
        <v>56</v>
      </c>
      <c r="AJ322" t="s">
        <v>57</v>
      </c>
      <c r="AK322" t="s">
        <v>79</v>
      </c>
      <c r="AL322" t="s">
        <v>59</v>
      </c>
      <c r="AM322" t="s">
        <v>60</v>
      </c>
      <c r="AN322">
        <v>7</v>
      </c>
      <c r="AO322">
        <v>34</v>
      </c>
      <c r="AP322">
        <v>5</v>
      </c>
      <c r="AQ322">
        <v>14</v>
      </c>
      <c r="AR322" t="s">
        <v>55</v>
      </c>
      <c r="AS322" t="s">
        <v>61</v>
      </c>
      <c r="AT322" t="s">
        <v>56</v>
      </c>
      <c r="AU322" t="s">
        <v>62</v>
      </c>
      <c r="AV322" t="s">
        <v>63</v>
      </c>
      <c r="AW322" t="s">
        <v>60</v>
      </c>
      <c r="AX322" t="s">
        <v>60</v>
      </c>
      <c r="AY322">
        <v>4</v>
      </c>
      <c r="AZ322" t="s">
        <v>64</v>
      </c>
      <c r="BA322">
        <v>7</v>
      </c>
      <c r="BB322">
        <v>6</v>
      </c>
      <c r="BC322" t="s">
        <v>65</v>
      </c>
    </row>
    <row r="323" spans="1:55" x14ac:dyDescent="0.2">
      <c r="A323" s="3" t="s">
        <v>16</v>
      </c>
      <c r="B323" s="3" t="s">
        <v>8</v>
      </c>
      <c r="C323" s="3">
        <v>5</v>
      </c>
      <c r="D323" s="3">
        <v>9.5</v>
      </c>
      <c r="E323" s="3">
        <v>8</v>
      </c>
      <c r="F323" s="3">
        <v>8</v>
      </c>
      <c r="G323" s="3">
        <v>23.5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0.75</v>
      </c>
      <c r="N323">
        <v>1</v>
      </c>
      <c r="O323">
        <v>0.17</v>
      </c>
      <c r="P323">
        <v>1</v>
      </c>
      <c r="Q323">
        <v>0.5</v>
      </c>
      <c r="R323">
        <v>1</v>
      </c>
      <c r="S323">
        <v>1</v>
      </c>
      <c r="T323">
        <f t="shared" si="40"/>
        <v>5</v>
      </c>
      <c r="U323">
        <f t="shared" si="41"/>
        <v>9.5</v>
      </c>
      <c r="V323">
        <f t="shared" si="42"/>
        <v>8</v>
      </c>
      <c r="W323">
        <f t="shared" si="43"/>
        <v>8</v>
      </c>
      <c r="X323">
        <f t="shared" si="44"/>
        <v>23.5</v>
      </c>
      <c r="Y323" t="str">
        <f>+VLOOKUP(A323,'[1]Tárgy kurzusai'!$A:$C,3,0)</f>
        <v>SZE:15:30-17:00(E.3.324)</v>
      </c>
      <c r="Z323">
        <f>+VLOOKUP(A323,'[1]Tárgy kurzusai'!$A:$F,6,0)</f>
        <v>6</v>
      </c>
      <c r="AA323" t="s">
        <v>66</v>
      </c>
      <c r="AB323" t="s">
        <v>71</v>
      </c>
      <c r="AC323" t="s">
        <v>72</v>
      </c>
      <c r="AD323" t="s">
        <v>84</v>
      </c>
      <c r="AE323" t="s">
        <v>53</v>
      </c>
      <c r="AF323" t="s">
        <v>54</v>
      </c>
      <c r="AG323" t="s">
        <v>55</v>
      </c>
      <c r="AH323" t="s">
        <v>55</v>
      </c>
      <c r="AI323" t="s">
        <v>55</v>
      </c>
      <c r="AJ323" t="s">
        <v>57</v>
      </c>
      <c r="AK323" t="s">
        <v>58</v>
      </c>
      <c r="AL323" t="s">
        <v>59</v>
      </c>
      <c r="AM323" t="s">
        <v>60</v>
      </c>
      <c r="AN323">
        <v>7</v>
      </c>
      <c r="AO323">
        <v>34</v>
      </c>
      <c r="AP323">
        <v>6</v>
      </c>
      <c r="AQ323">
        <v>5</v>
      </c>
      <c r="AR323" t="s">
        <v>55</v>
      </c>
      <c r="AS323" t="s">
        <v>55</v>
      </c>
      <c r="AT323" t="s">
        <v>55</v>
      </c>
      <c r="AU323" t="s">
        <v>62</v>
      </c>
      <c r="AV323" t="s">
        <v>63</v>
      </c>
      <c r="AW323" t="s">
        <v>60</v>
      </c>
      <c r="AX323" t="s">
        <v>60</v>
      </c>
      <c r="AY323">
        <v>4</v>
      </c>
      <c r="AZ323" t="s">
        <v>78</v>
      </c>
      <c r="BA323">
        <v>8</v>
      </c>
      <c r="BB323">
        <v>10</v>
      </c>
      <c r="BC323" t="s">
        <v>76</v>
      </c>
    </row>
    <row r="324" spans="1:55" x14ac:dyDescent="0.2">
      <c r="A324" s="3" t="s">
        <v>16</v>
      </c>
      <c r="B324" s="3" t="s">
        <v>8</v>
      </c>
      <c r="C324" s="3">
        <v>0</v>
      </c>
      <c r="D324" s="3">
        <v>1</v>
      </c>
      <c r="E324" s="19">
        <v>0</v>
      </c>
      <c r="F324" s="19">
        <v>0</v>
      </c>
      <c r="G324" s="3" t="e">
        <v>#N/A</v>
      </c>
      <c r="H324">
        <v>0.75</v>
      </c>
      <c r="I324">
        <v>0.75</v>
      </c>
      <c r="J324">
        <v>0.5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f t="shared" si="40"/>
        <v>0</v>
      </c>
      <c r="U324">
        <f t="shared" si="41"/>
        <v>1</v>
      </c>
      <c r="V324">
        <f t="shared" si="42"/>
        <v>0</v>
      </c>
      <c r="W324">
        <f t="shared" si="43"/>
        <v>0</v>
      </c>
      <c r="X324" t="e">
        <f t="shared" si="44"/>
        <v>#N/A</v>
      </c>
      <c r="Y324" t="str">
        <f>+VLOOKUP(A324,'[1]Tárgy kurzusai'!$A:$C,3,0)</f>
        <v>SZE:15:30-17:00(E.3.324)</v>
      </c>
      <c r="Z324">
        <f>+VLOOKUP(A324,'[1]Tárgy kurzusai'!$A:$F,6,0)</f>
        <v>6</v>
      </c>
      <c r="AA324" t="s">
        <v>66</v>
      </c>
      <c r="AB324" t="s">
        <v>71</v>
      </c>
      <c r="AC324" t="s">
        <v>72</v>
      </c>
      <c r="AD324" t="s">
        <v>92</v>
      </c>
      <c r="AE324" t="s">
        <v>69</v>
      </c>
      <c r="AF324" t="s">
        <v>69</v>
      </c>
      <c r="AG324" t="s">
        <v>55</v>
      </c>
      <c r="AH324" t="s">
        <v>55</v>
      </c>
      <c r="AI324" t="s">
        <v>55</v>
      </c>
      <c r="AJ324" t="s">
        <v>57</v>
      </c>
      <c r="AK324" t="s">
        <v>58</v>
      </c>
      <c r="AL324" t="s">
        <v>59</v>
      </c>
      <c r="AM324" t="s">
        <v>60</v>
      </c>
      <c r="AN324">
        <v>9</v>
      </c>
      <c r="AO324">
        <v>37</v>
      </c>
      <c r="AP324">
        <v>5</v>
      </c>
      <c r="AQ324">
        <v>16</v>
      </c>
      <c r="AR324" t="s">
        <v>55</v>
      </c>
      <c r="AS324" t="s">
        <v>55</v>
      </c>
      <c r="AT324" t="s">
        <v>56</v>
      </c>
      <c r="AU324" t="s">
        <v>62</v>
      </c>
      <c r="AV324" t="s">
        <v>63</v>
      </c>
      <c r="AW324" t="s">
        <v>60</v>
      </c>
      <c r="AX324" t="s">
        <v>60</v>
      </c>
      <c r="AY324">
        <v>3</v>
      </c>
      <c r="AZ324" t="s">
        <v>64</v>
      </c>
      <c r="BA324">
        <v>10</v>
      </c>
      <c r="BB324">
        <v>10</v>
      </c>
      <c r="BC324" t="s">
        <v>82</v>
      </c>
    </row>
    <row r="325" spans="1:55" x14ac:dyDescent="0.2">
      <c r="A325" s="3" t="s">
        <v>16</v>
      </c>
      <c r="B325" s="3" t="s">
        <v>8</v>
      </c>
      <c r="C325" s="3">
        <v>8</v>
      </c>
      <c r="D325" s="3">
        <v>6.5</v>
      </c>
      <c r="E325" s="3">
        <v>4</v>
      </c>
      <c r="F325" s="3">
        <v>10</v>
      </c>
      <c r="G325" s="3">
        <v>20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0.5</v>
      </c>
      <c r="N325">
        <v>1</v>
      </c>
      <c r="O325">
        <v>0.5</v>
      </c>
      <c r="P325">
        <v>1</v>
      </c>
      <c r="Q325">
        <v>0.75</v>
      </c>
      <c r="R325">
        <v>1</v>
      </c>
      <c r="S325">
        <v>1</v>
      </c>
      <c r="T325">
        <f t="shared" si="40"/>
        <v>8</v>
      </c>
      <c r="U325">
        <f t="shared" si="41"/>
        <v>6.5</v>
      </c>
      <c r="V325">
        <f t="shared" si="42"/>
        <v>4</v>
      </c>
      <c r="W325">
        <f t="shared" si="43"/>
        <v>10</v>
      </c>
      <c r="X325">
        <f t="shared" si="44"/>
        <v>20</v>
      </c>
      <c r="Y325" t="str">
        <f>+VLOOKUP(A325,'[1]Tárgy kurzusai'!$A:$C,3,0)</f>
        <v>SZE:15:30-17:00(E.3.324)</v>
      </c>
      <c r="Z325">
        <f>+VLOOKUP(A325,'[1]Tárgy kurzusai'!$A:$F,6,0)</f>
        <v>6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</row>
    <row r="326" spans="1:55" x14ac:dyDescent="0.2">
      <c r="A326" s="3" t="s">
        <v>16</v>
      </c>
      <c r="B326" s="3" t="s">
        <v>8</v>
      </c>
      <c r="C326" s="3">
        <v>12</v>
      </c>
      <c r="D326" s="3">
        <v>7.5</v>
      </c>
      <c r="E326" s="3">
        <v>8</v>
      </c>
      <c r="F326" s="3">
        <v>11</v>
      </c>
      <c r="G326" s="3">
        <v>29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f t="shared" si="40"/>
        <v>12</v>
      </c>
      <c r="U326">
        <f t="shared" si="41"/>
        <v>7.5</v>
      </c>
      <c r="V326">
        <f t="shared" si="42"/>
        <v>8</v>
      </c>
      <c r="W326">
        <f t="shared" si="43"/>
        <v>11</v>
      </c>
      <c r="X326">
        <f t="shared" si="44"/>
        <v>29</v>
      </c>
      <c r="Y326" t="str">
        <f>+VLOOKUP(A326,'[1]Tárgy kurzusai'!$A:$C,3,0)</f>
        <v>SZE:15:30-17:00(E.3.324)</v>
      </c>
      <c r="Z326">
        <f>+VLOOKUP(A326,'[1]Tárgy kurzusai'!$A:$F,6,0)</f>
        <v>6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</row>
    <row r="327" spans="1:55" x14ac:dyDescent="0.2">
      <c r="A327" s="3" t="s">
        <v>16</v>
      </c>
      <c r="B327" s="3" t="s">
        <v>8</v>
      </c>
      <c r="C327" s="3">
        <v>11</v>
      </c>
      <c r="D327" s="3">
        <v>11</v>
      </c>
      <c r="E327" s="3">
        <v>9.5</v>
      </c>
      <c r="F327" s="3">
        <v>13</v>
      </c>
      <c r="G327" s="3">
        <v>32.5</v>
      </c>
      <c r="H327">
        <v>1</v>
      </c>
      <c r="I327">
        <v>1</v>
      </c>
      <c r="J327">
        <v>0</v>
      </c>
      <c r="K327">
        <v>1</v>
      </c>
      <c r="L327">
        <v>1</v>
      </c>
      <c r="M327">
        <v>0.75</v>
      </c>
      <c r="N327">
        <v>1</v>
      </c>
      <c r="O327">
        <v>0.83</v>
      </c>
      <c r="P327">
        <v>1</v>
      </c>
      <c r="Q327">
        <v>0.5</v>
      </c>
      <c r="R327">
        <v>1</v>
      </c>
      <c r="S327">
        <v>1</v>
      </c>
      <c r="T327">
        <f t="shared" si="40"/>
        <v>11</v>
      </c>
      <c r="U327">
        <f t="shared" si="41"/>
        <v>11</v>
      </c>
      <c r="V327">
        <f t="shared" si="42"/>
        <v>9.5</v>
      </c>
      <c r="W327">
        <f t="shared" si="43"/>
        <v>13</v>
      </c>
      <c r="X327">
        <f t="shared" si="44"/>
        <v>32.5</v>
      </c>
      <c r="Y327" t="str">
        <f>+VLOOKUP(A327,'[1]Tárgy kurzusai'!$A:$C,3,0)</f>
        <v>SZE:15:30-17:00(E.3.324)</v>
      </c>
      <c r="Z327">
        <f>+VLOOKUP(A327,'[1]Tárgy kurzusai'!$A:$F,6,0)</f>
        <v>6</v>
      </c>
      <c r="AA327" t="s">
        <v>49</v>
      </c>
      <c r="AB327" t="s">
        <v>80</v>
      </c>
      <c r="AC327" t="s">
        <v>51</v>
      </c>
      <c r="AD327" t="s">
        <v>68</v>
      </c>
      <c r="AE327" t="s">
        <v>69</v>
      </c>
      <c r="AF327" t="s">
        <v>53</v>
      </c>
      <c r="AG327" t="s">
        <v>56</v>
      </c>
      <c r="AH327" t="s">
        <v>55</v>
      </c>
      <c r="AI327" t="s">
        <v>55</v>
      </c>
      <c r="AJ327" t="s">
        <v>57</v>
      </c>
      <c r="AK327" t="s">
        <v>58</v>
      </c>
      <c r="AL327" t="s">
        <v>59</v>
      </c>
      <c r="AM327" t="s">
        <v>60</v>
      </c>
      <c r="AN327">
        <v>6</v>
      </c>
      <c r="AO327">
        <v>34</v>
      </c>
      <c r="AP327">
        <v>5</v>
      </c>
      <c r="AQ327">
        <v>11</v>
      </c>
      <c r="AR327" t="s">
        <v>55</v>
      </c>
      <c r="AS327" t="s">
        <v>61</v>
      </c>
      <c r="AT327" t="s">
        <v>56</v>
      </c>
      <c r="AU327" t="s">
        <v>62</v>
      </c>
      <c r="AV327" t="s">
        <v>63</v>
      </c>
      <c r="AW327" t="s">
        <v>60</v>
      </c>
      <c r="AX327" t="s">
        <v>60</v>
      </c>
      <c r="AY327">
        <v>2</v>
      </c>
      <c r="AZ327" t="s">
        <v>78</v>
      </c>
      <c r="BA327">
        <v>6</v>
      </c>
      <c r="BB327">
        <v>6</v>
      </c>
      <c r="BC327" t="s">
        <v>65</v>
      </c>
    </row>
    <row r="328" spans="1:55" x14ac:dyDescent="0.2">
      <c r="A328" s="3" t="s">
        <v>16</v>
      </c>
      <c r="B328" s="3" t="s">
        <v>8</v>
      </c>
      <c r="C328" s="3">
        <v>9</v>
      </c>
      <c r="D328" s="3">
        <v>2</v>
      </c>
      <c r="E328" s="3">
        <v>10</v>
      </c>
      <c r="F328" s="19">
        <v>0</v>
      </c>
      <c r="G328" s="3" t="e">
        <v>#N/A</v>
      </c>
      <c r="H328">
        <v>0.5</v>
      </c>
      <c r="I328">
        <v>1</v>
      </c>
      <c r="J328">
        <v>0</v>
      </c>
      <c r="K328">
        <v>1</v>
      </c>
      <c r="L328">
        <v>0.5</v>
      </c>
      <c r="M328">
        <v>0</v>
      </c>
      <c r="N328">
        <v>1</v>
      </c>
      <c r="O328">
        <v>0.67</v>
      </c>
      <c r="P328">
        <v>1</v>
      </c>
      <c r="Q328">
        <v>1</v>
      </c>
      <c r="R328">
        <v>0</v>
      </c>
      <c r="S328">
        <v>0</v>
      </c>
      <c r="T328">
        <f t="shared" si="40"/>
        <v>9</v>
      </c>
      <c r="U328">
        <f t="shared" si="41"/>
        <v>2</v>
      </c>
      <c r="V328">
        <f t="shared" si="42"/>
        <v>10</v>
      </c>
      <c r="W328">
        <f t="shared" si="43"/>
        <v>0</v>
      </c>
      <c r="X328" t="e">
        <f t="shared" si="44"/>
        <v>#N/A</v>
      </c>
      <c r="Y328" t="str">
        <f>+VLOOKUP(A328,'[1]Tárgy kurzusai'!$A:$C,3,0)</f>
        <v>SZE:15:30-17:00(E.3.324)</v>
      </c>
      <c r="Z328">
        <f>+VLOOKUP(A328,'[1]Tárgy kurzusai'!$A:$F,6,0)</f>
        <v>6</v>
      </c>
      <c r="AA328" t="s">
        <v>49</v>
      </c>
      <c r="AB328" t="s">
        <v>80</v>
      </c>
      <c r="AC328" t="s">
        <v>72</v>
      </c>
      <c r="AD328" t="s">
        <v>52</v>
      </c>
      <c r="AE328" t="s">
        <v>69</v>
      </c>
      <c r="AF328" t="s">
        <v>69</v>
      </c>
      <c r="AG328" t="s">
        <v>55</v>
      </c>
      <c r="AH328" t="s">
        <v>55</v>
      </c>
      <c r="AI328" t="s">
        <v>55</v>
      </c>
      <c r="AJ328" t="s">
        <v>57</v>
      </c>
      <c r="AK328" t="s">
        <v>79</v>
      </c>
      <c r="AL328" t="s">
        <v>59</v>
      </c>
      <c r="AM328" t="s">
        <v>60</v>
      </c>
      <c r="AN328">
        <v>7</v>
      </c>
      <c r="AO328">
        <v>33</v>
      </c>
      <c r="AP328">
        <v>5</v>
      </c>
      <c r="AQ328">
        <v>5</v>
      </c>
      <c r="AR328" t="s">
        <v>55</v>
      </c>
      <c r="AS328" t="s">
        <v>61</v>
      </c>
      <c r="AT328" t="s">
        <v>56</v>
      </c>
      <c r="AU328" t="s">
        <v>62</v>
      </c>
      <c r="AV328" t="s">
        <v>63</v>
      </c>
      <c r="AW328" t="s">
        <v>60</v>
      </c>
      <c r="AX328" t="s">
        <v>60</v>
      </c>
      <c r="AY328">
        <v>3</v>
      </c>
      <c r="AZ328" t="s">
        <v>78</v>
      </c>
      <c r="BA328">
        <v>3</v>
      </c>
      <c r="BB328">
        <v>3</v>
      </c>
      <c r="BC328" t="s">
        <v>65</v>
      </c>
    </row>
    <row r="329" spans="1:55" x14ac:dyDescent="0.2">
      <c r="A329" s="3" t="s">
        <v>16</v>
      </c>
      <c r="B329" s="3" t="s">
        <v>8</v>
      </c>
      <c r="C329" s="3">
        <v>1</v>
      </c>
      <c r="D329" s="3">
        <v>0</v>
      </c>
      <c r="E329" s="19">
        <v>0</v>
      </c>
      <c r="F329" s="19">
        <v>0</v>
      </c>
      <c r="G329" s="3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0.75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f t="shared" si="40"/>
        <v>1</v>
      </c>
      <c r="U329">
        <f t="shared" si="41"/>
        <v>0</v>
      </c>
      <c r="V329">
        <f t="shared" si="42"/>
        <v>0</v>
      </c>
      <c r="W329">
        <f t="shared" si="43"/>
        <v>0</v>
      </c>
      <c r="X329">
        <f t="shared" si="44"/>
        <v>0</v>
      </c>
      <c r="Y329" t="str">
        <f>+VLOOKUP(A329,'[1]Tárgy kurzusai'!$A:$C,3,0)</f>
        <v>SZE:15:30-17:00(E.3.324)</v>
      </c>
      <c r="Z329">
        <f>+VLOOKUP(A329,'[1]Tárgy kurzusai'!$A:$F,6,0)</f>
        <v>6</v>
      </c>
      <c r="AA329" t="s">
        <v>66</v>
      </c>
      <c r="AB329" t="s">
        <v>50</v>
      </c>
      <c r="AC329" t="s">
        <v>72</v>
      </c>
      <c r="AD329" t="s">
        <v>85</v>
      </c>
      <c r="AE329" t="s">
        <v>53</v>
      </c>
      <c r="AF329" t="s">
        <v>54</v>
      </c>
      <c r="AG329" t="s">
        <v>55</v>
      </c>
      <c r="AH329" t="s">
        <v>55</v>
      </c>
      <c r="AI329" t="s">
        <v>55</v>
      </c>
      <c r="AJ329" t="s">
        <v>57</v>
      </c>
      <c r="AK329" t="s">
        <v>58</v>
      </c>
      <c r="AL329" t="s">
        <v>59</v>
      </c>
      <c r="AM329" t="s">
        <v>60</v>
      </c>
      <c r="AN329">
        <v>8</v>
      </c>
      <c r="AO329">
        <v>40</v>
      </c>
      <c r="AP329">
        <v>5</v>
      </c>
      <c r="AQ329">
        <v>7</v>
      </c>
      <c r="AR329" t="s">
        <v>55</v>
      </c>
      <c r="AS329" t="s">
        <v>55</v>
      </c>
      <c r="AT329" t="s">
        <v>55</v>
      </c>
      <c r="AU329" t="s">
        <v>62</v>
      </c>
      <c r="AV329" t="s">
        <v>63</v>
      </c>
      <c r="AW329" t="s">
        <v>60</v>
      </c>
      <c r="AX329" t="s">
        <v>60</v>
      </c>
      <c r="AY329">
        <v>3</v>
      </c>
      <c r="AZ329" t="s">
        <v>64</v>
      </c>
      <c r="BA329">
        <v>8</v>
      </c>
      <c r="BB329">
        <v>9</v>
      </c>
      <c r="BC329" t="s">
        <v>70</v>
      </c>
    </row>
    <row r="330" spans="1:55" x14ac:dyDescent="0.2">
      <c r="A330" s="3" t="s">
        <v>16</v>
      </c>
      <c r="B330" s="3" t="s">
        <v>8</v>
      </c>
      <c r="C330" s="3">
        <v>12.5</v>
      </c>
      <c r="D330" s="3">
        <v>13</v>
      </c>
      <c r="E330" s="3">
        <v>8</v>
      </c>
      <c r="F330" s="19">
        <v>0</v>
      </c>
      <c r="G330" s="3">
        <v>0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0.75</v>
      </c>
      <c r="S330">
        <v>1</v>
      </c>
      <c r="T330">
        <f t="shared" si="40"/>
        <v>12.5</v>
      </c>
      <c r="U330">
        <f t="shared" si="41"/>
        <v>13</v>
      </c>
      <c r="V330">
        <f t="shared" si="42"/>
        <v>8</v>
      </c>
      <c r="W330">
        <f t="shared" si="43"/>
        <v>0</v>
      </c>
      <c r="X330">
        <f t="shared" si="44"/>
        <v>0</v>
      </c>
      <c r="Y330" t="str">
        <f>+VLOOKUP(A330,'[1]Tárgy kurzusai'!$A:$C,3,0)</f>
        <v>SZE:15:30-17:00(E.3.324)</v>
      </c>
      <c r="Z330">
        <f>+VLOOKUP(A330,'[1]Tárgy kurzusai'!$A:$F,6,0)</f>
        <v>6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</row>
    <row r="331" spans="1:55" x14ac:dyDescent="0.2">
      <c r="A331" s="3" t="s">
        <v>16</v>
      </c>
      <c r="B331" s="3" t="s">
        <v>8</v>
      </c>
      <c r="C331" s="3">
        <v>9.5</v>
      </c>
      <c r="D331" s="3">
        <v>5</v>
      </c>
      <c r="E331" s="3">
        <v>10</v>
      </c>
      <c r="F331" s="3">
        <v>9.5</v>
      </c>
      <c r="G331" s="3">
        <v>25</v>
      </c>
      <c r="H331">
        <v>0.5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0.5</v>
      </c>
      <c r="R331">
        <v>1</v>
      </c>
      <c r="S331">
        <v>1</v>
      </c>
      <c r="T331">
        <f t="shared" si="40"/>
        <v>9.5</v>
      </c>
      <c r="U331">
        <f t="shared" si="41"/>
        <v>5</v>
      </c>
      <c r="V331">
        <f t="shared" si="42"/>
        <v>10</v>
      </c>
      <c r="W331">
        <f t="shared" si="43"/>
        <v>9.5</v>
      </c>
      <c r="X331">
        <f t="shared" si="44"/>
        <v>25</v>
      </c>
      <c r="Y331" t="str">
        <f>+VLOOKUP(A331,'[1]Tárgy kurzusai'!$A:$C,3,0)</f>
        <v>SZE:15:30-17:00(E.3.324)</v>
      </c>
      <c r="Z331">
        <f>+VLOOKUP(A331,'[1]Tárgy kurzusai'!$A:$F,6,0)</f>
        <v>6</v>
      </c>
      <c r="AA331" t="s">
        <v>49</v>
      </c>
      <c r="AB331" t="s">
        <v>80</v>
      </c>
      <c r="AC331" t="s">
        <v>75</v>
      </c>
      <c r="AD331" t="s">
        <v>93</v>
      </c>
      <c r="AE331" t="s">
        <v>69</v>
      </c>
      <c r="AF331" t="s">
        <v>54</v>
      </c>
      <c r="AG331" t="s">
        <v>56</v>
      </c>
      <c r="AH331" t="s">
        <v>56</v>
      </c>
      <c r="AI331" t="s">
        <v>56</v>
      </c>
      <c r="AJ331" t="s">
        <v>57</v>
      </c>
      <c r="AK331" t="s">
        <v>58</v>
      </c>
      <c r="AL331" t="s">
        <v>59</v>
      </c>
      <c r="AM331" t="s">
        <v>60</v>
      </c>
      <c r="AN331">
        <v>7</v>
      </c>
      <c r="AO331">
        <v>33</v>
      </c>
      <c r="AP331">
        <v>4</v>
      </c>
      <c r="AQ331">
        <v>3</v>
      </c>
      <c r="AR331" t="s">
        <v>55</v>
      </c>
      <c r="AS331" t="s">
        <v>61</v>
      </c>
      <c r="AT331" t="s">
        <v>55</v>
      </c>
      <c r="AU331" t="s">
        <v>62</v>
      </c>
      <c r="AV331" t="s">
        <v>63</v>
      </c>
      <c r="AW331" t="s">
        <v>60</v>
      </c>
      <c r="AX331" t="s">
        <v>60</v>
      </c>
      <c r="AY331">
        <v>3</v>
      </c>
      <c r="AZ331" t="s">
        <v>64</v>
      </c>
      <c r="BA331">
        <v>7</v>
      </c>
      <c r="BB331">
        <v>6</v>
      </c>
      <c r="BC331" t="s">
        <v>70</v>
      </c>
    </row>
    <row r="332" spans="1:55" x14ac:dyDescent="0.2">
      <c r="A332" s="3" t="s">
        <v>16</v>
      </c>
      <c r="B332" s="3" t="s">
        <v>8</v>
      </c>
      <c r="C332" s="3">
        <v>15</v>
      </c>
      <c r="D332" s="3">
        <v>11.5</v>
      </c>
      <c r="E332" s="3">
        <v>15</v>
      </c>
      <c r="F332" s="3">
        <v>10</v>
      </c>
      <c r="G332" s="3">
        <v>34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f t="shared" si="40"/>
        <v>15</v>
      </c>
      <c r="U332">
        <f t="shared" si="41"/>
        <v>11.5</v>
      </c>
      <c r="V332">
        <f t="shared" si="42"/>
        <v>15</v>
      </c>
      <c r="W332">
        <f t="shared" si="43"/>
        <v>10</v>
      </c>
      <c r="X332">
        <f t="shared" si="44"/>
        <v>34</v>
      </c>
      <c r="Y332" t="str">
        <f>+VLOOKUP(A332,'[1]Tárgy kurzusai'!$A:$C,3,0)</f>
        <v>SZE:15:30-17:00(E.3.324)</v>
      </c>
      <c r="Z332">
        <f>+VLOOKUP(A332,'[1]Tárgy kurzusai'!$A:$F,6,0)</f>
        <v>6</v>
      </c>
      <c r="AA332" t="s">
        <v>49</v>
      </c>
      <c r="AB332" t="s">
        <v>71</v>
      </c>
      <c r="AC332" t="s">
        <v>72</v>
      </c>
      <c r="AD332" t="s">
        <v>92</v>
      </c>
      <c r="AE332" t="s">
        <v>53</v>
      </c>
      <c r="AF332" t="s">
        <v>53</v>
      </c>
      <c r="AG332" t="s">
        <v>55</v>
      </c>
      <c r="AH332" t="s">
        <v>55</v>
      </c>
      <c r="AI332" t="s">
        <v>55</v>
      </c>
      <c r="AJ332" t="s">
        <v>57</v>
      </c>
      <c r="AK332" t="s">
        <v>58</v>
      </c>
      <c r="AL332" t="s">
        <v>59</v>
      </c>
      <c r="AM332" t="s">
        <v>60</v>
      </c>
      <c r="AN332">
        <v>7</v>
      </c>
      <c r="AO332">
        <v>34</v>
      </c>
      <c r="AP332">
        <v>5</v>
      </c>
      <c r="AQ332">
        <v>13</v>
      </c>
      <c r="AR332" t="s">
        <v>55</v>
      </c>
      <c r="AS332" t="s">
        <v>55</v>
      </c>
      <c r="AT332" t="s">
        <v>55</v>
      </c>
      <c r="AU332" t="s">
        <v>62</v>
      </c>
      <c r="AV332" t="s">
        <v>63</v>
      </c>
      <c r="AW332" t="s">
        <v>60</v>
      </c>
      <c r="AX332" t="s">
        <v>60</v>
      </c>
      <c r="AY332">
        <v>3</v>
      </c>
      <c r="AZ332" t="s">
        <v>64</v>
      </c>
      <c r="BA332">
        <v>6</v>
      </c>
      <c r="BB332">
        <v>9</v>
      </c>
      <c r="BC332" t="s">
        <v>76</v>
      </c>
    </row>
    <row r="333" spans="1:55" x14ac:dyDescent="0.2">
      <c r="A333" s="3" t="s">
        <v>16</v>
      </c>
      <c r="B333" s="3" t="s">
        <v>8</v>
      </c>
      <c r="C333" s="3">
        <v>8</v>
      </c>
      <c r="D333" s="3">
        <v>6.5</v>
      </c>
      <c r="E333" s="3">
        <v>8.5</v>
      </c>
      <c r="F333" s="3">
        <v>12</v>
      </c>
      <c r="G333" s="3">
        <v>26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0.25</v>
      </c>
      <c r="R333">
        <v>1</v>
      </c>
      <c r="S333">
        <v>1</v>
      </c>
      <c r="T333">
        <f t="shared" si="40"/>
        <v>8</v>
      </c>
      <c r="U333">
        <f t="shared" si="41"/>
        <v>6.5</v>
      </c>
      <c r="V333">
        <f t="shared" si="42"/>
        <v>8.5</v>
      </c>
      <c r="W333">
        <f t="shared" si="43"/>
        <v>12</v>
      </c>
      <c r="X333">
        <f t="shared" si="44"/>
        <v>26</v>
      </c>
      <c r="Y333" t="str">
        <f>+VLOOKUP(A333,'[1]Tárgy kurzusai'!$A:$C,3,0)</f>
        <v>SZE:15:30-17:00(E.3.324)</v>
      </c>
      <c r="Z333">
        <f>+VLOOKUP(A333,'[1]Tárgy kurzusai'!$A:$F,6,0)</f>
        <v>6</v>
      </c>
      <c r="AA333" t="s">
        <v>49</v>
      </c>
      <c r="AB333" t="s">
        <v>71</v>
      </c>
      <c r="AC333" t="s">
        <v>72</v>
      </c>
      <c r="AD333" t="s">
        <v>85</v>
      </c>
      <c r="AE333" t="s">
        <v>69</v>
      </c>
      <c r="AF333" t="s">
        <v>69</v>
      </c>
      <c r="AG333" t="s">
        <v>55</v>
      </c>
      <c r="AH333" t="s">
        <v>55</v>
      </c>
      <c r="AI333" t="s">
        <v>56</v>
      </c>
      <c r="AJ333" t="s">
        <v>57</v>
      </c>
      <c r="AK333" t="s">
        <v>58</v>
      </c>
      <c r="AL333" t="s">
        <v>59</v>
      </c>
      <c r="AM333" t="s">
        <v>60</v>
      </c>
      <c r="AN333">
        <v>7</v>
      </c>
      <c r="AO333">
        <v>37</v>
      </c>
      <c r="AP333">
        <v>5</v>
      </c>
      <c r="AQ333">
        <v>15</v>
      </c>
      <c r="AR333" t="s">
        <v>55</v>
      </c>
      <c r="AS333" t="s">
        <v>61</v>
      </c>
      <c r="AT333" t="s">
        <v>56</v>
      </c>
      <c r="AU333" t="s">
        <v>62</v>
      </c>
      <c r="AV333" t="s">
        <v>63</v>
      </c>
      <c r="AW333" t="s">
        <v>60</v>
      </c>
      <c r="AX333" t="s">
        <v>60</v>
      </c>
      <c r="AY333">
        <v>4</v>
      </c>
      <c r="AZ333" t="s">
        <v>60</v>
      </c>
      <c r="BA333">
        <v>9</v>
      </c>
      <c r="BB333">
        <v>9</v>
      </c>
      <c r="BC333" t="s">
        <v>70</v>
      </c>
    </row>
    <row r="334" spans="1:55" x14ac:dyDescent="0.2">
      <c r="A334" s="3" t="s">
        <v>16</v>
      </c>
      <c r="B334" s="3" t="s">
        <v>8</v>
      </c>
      <c r="C334" s="3">
        <v>5.5</v>
      </c>
      <c r="D334" s="3">
        <v>9.5</v>
      </c>
      <c r="E334" s="3">
        <v>8</v>
      </c>
      <c r="F334" s="3">
        <v>9</v>
      </c>
      <c r="G334" s="3">
        <v>29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  <c r="O334">
        <v>0.33</v>
      </c>
      <c r="P334">
        <v>1</v>
      </c>
      <c r="Q334">
        <v>0.75</v>
      </c>
      <c r="R334">
        <v>1</v>
      </c>
      <c r="S334">
        <v>1</v>
      </c>
      <c r="T334">
        <f t="shared" si="40"/>
        <v>5.5</v>
      </c>
      <c r="U334">
        <f t="shared" si="41"/>
        <v>9.5</v>
      </c>
      <c r="V334">
        <f t="shared" si="42"/>
        <v>8</v>
      </c>
      <c r="W334">
        <f t="shared" si="43"/>
        <v>9</v>
      </c>
      <c r="X334">
        <f t="shared" si="44"/>
        <v>29</v>
      </c>
      <c r="Y334" t="str">
        <f>+VLOOKUP(A334,'[1]Tárgy kurzusai'!$A:$C,3,0)</f>
        <v>SZE:15:30-17:00(E.3.324)</v>
      </c>
      <c r="Z334">
        <f>+VLOOKUP(A334,'[1]Tárgy kurzusai'!$A:$F,6,0)</f>
        <v>6</v>
      </c>
      <c r="AA334" t="s">
        <v>66</v>
      </c>
      <c r="AB334" t="s">
        <v>71</v>
      </c>
      <c r="AC334" t="s">
        <v>72</v>
      </c>
      <c r="AD334" t="s">
        <v>92</v>
      </c>
      <c r="AE334" t="s">
        <v>69</v>
      </c>
      <c r="AF334" t="s">
        <v>69</v>
      </c>
      <c r="AG334" t="s">
        <v>56</v>
      </c>
      <c r="AH334" t="s">
        <v>55</v>
      </c>
      <c r="AI334" t="s">
        <v>55</v>
      </c>
      <c r="AJ334" t="s">
        <v>57</v>
      </c>
      <c r="AK334" t="s">
        <v>58</v>
      </c>
      <c r="AL334" t="s">
        <v>59</v>
      </c>
      <c r="AM334" t="s">
        <v>60</v>
      </c>
      <c r="AN334">
        <v>9</v>
      </c>
      <c r="AO334">
        <v>40</v>
      </c>
      <c r="AP334">
        <v>5</v>
      </c>
      <c r="AQ334">
        <v>17</v>
      </c>
      <c r="AR334" t="s">
        <v>55</v>
      </c>
      <c r="AS334" t="s">
        <v>61</v>
      </c>
      <c r="AT334" t="s">
        <v>56</v>
      </c>
      <c r="AU334" t="s">
        <v>62</v>
      </c>
      <c r="AV334" t="s">
        <v>63</v>
      </c>
      <c r="AW334" t="s">
        <v>60</v>
      </c>
      <c r="AX334" t="s">
        <v>60</v>
      </c>
      <c r="AY334">
        <v>4</v>
      </c>
      <c r="AZ334" t="s">
        <v>78</v>
      </c>
      <c r="BA334">
        <v>8</v>
      </c>
      <c r="BB334">
        <v>7</v>
      </c>
      <c r="BC334" t="s">
        <v>65</v>
      </c>
    </row>
    <row r="335" spans="1:55" x14ac:dyDescent="0.2">
      <c r="A335" s="3" t="s">
        <v>16</v>
      </c>
      <c r="B335" s="3" t="s">
        <v>8</v>
      </c>
      <c r="C335" s="3">
        <v>7</v>
      </c>
      <c r="D335" s="3">
        <v>5.5</v>
      </c>
      <c r="E335" s="3">
        <v>15</v>
      </c>
      <c r="F335" s="3">
        <v>6</v>
      </c>
      <c r="G335" s="3">
        <v>33.5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f t="shared" si="40"/>
        <v>7</v>
      </c>
      <c r="U335">
        <f t="shared" si="41"/>
        <v>5.5</v>
      </c>
      <c r="V335">
        <f t="shared" si="42"/>
        <v>15</v>
      </c>
      <c r="W335">
        <f t="shared" si="43"/>
        <v>6</v>
      </c>
      <c r="X335">
        <f t="shared" si="44"/>
        <v>33.5</v>
      </c>
      <c r="Y335" t="str">
        <f>+VLOOKUP(A335,'[1]Tárgy kurzusai'!$A:$C,3,0)</f>
        <v>SZE:15:30-17:00(E.3.324)</v>
      </c>
      <c r="Z335">
        <f>+VLOOKUP(A335,'[1]Tárgy kurzusai'!$A:$F,6,0)</f>
        <v>6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</row>
    <row r="336" spans="1:55" x14ac:dyDescent="0.2">
      <c r="A336" s="3" t="s">
        <v>16</v>
      </c>
      <c r="B336" s="3" t="s">
        <v>8</v>
      </c>
      <c r="C336" s="3">
        <v>11</v>
      </c>
      <c r="D336" s="3">
        <v>2</v>
      </c>
      <c r="E336" s="3">
        <v>10</v>
      </c>
      <c r="F336" s="3">
        <v>10</v>
      </c>
      <c r="G336" s="3">
        <v>23.5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0.5</v>
      </c>
      <c r="P336">
        <v>1</v>
      </c>
      <c r="Q336">
        <v>0.25</v>
      </c>
      <c r="R336">
        <v>1</v>
      </c>
      <c r="S336">
        <v>1</v>
      </c>
      <c r="T336">
        <f t="shared" si="40"/>
        <v>11</v>
      </c>
      <c r="U336">
        <f t="shared" si="41"/>
        <v>2</v>
      </c>
      <c r="V336">
        <f t="shared" si="42"/>
        <v>10</v>
      </c>
      <c r="W336">
        <f t="shared" si="43"/>
        <v>10</v>
      </c>
      <c r="X336">
        <f t="shared" si="44"/>
        <v>23.5</v>
      </c>
      <c r="Y336" t="str">
        <f>+VLOOKUP(A336,'[1]Tárgy kurzusai'!$A:$C,3,0)</f>
        <v>SZE:15:30-17:00(E.3.324)</v>
      </c>
      <c r="Z336">
        <f>+VLOOKUP(A336,'[1]Tárgy kurzusai'!$A:$F,6,0)</f>
        <v>6</v>
      </c>
      <c r="AA336" t="s">
        <v>49</v>
      </c>
      <c r="AB336" t="s">
        <v>50</v>
      </c>
      <c r="AC336" t="s">
        <v>72</v>
      </c>
      <c r="AD336" t="s">
        <v>85</v>
      </c>
      <c r="AE336" t="s">
        <v>69</v>
      </c>
      <c r="AF336" t="s">
        <v>69</v>
      </c>
      <c r="AG336" t="s">
        <v>55</v>
      </c>
      <c r="AH336" t="s">
        <v>55</v>
      </c>
      <c r="AI336" t="s">
        <v>56</v>
      </c>
      <c r="AJ336" t="s">
        <v>57</v>
      </c>
      <c r="AK336" t="s">
        <v>58</v>
      </c>
      <c r="AL336" t="s">
        <v>59</v>
      </c>
      <c r="AM336" t="s">
        <v>60</v>
      </c>
      <c r="AN336">
        <v>8</v>
      </c>
      <c r="AO336">
        <v>37</v>
      </c>
      <c r="AP336">
        <v>5</v>
      </c>
      <c r="AQ336">
        <v>14</v>
      </c>
      <c r="AR336" t="s">
        <v>55</v>
      </c>
      <c r="AS336" t="s">
        <v>55</v>
      </c>
      <c r="AT336" t="s">
        <v>56</v>
      </c>
      <c r="AU336" t="s">
        <v>62</v>
      </c>
      <c r="AV336" t="s">
        <v>63</v>
      </c>
      <c r="AW336" t="s">
        <v>60</v>
      </c>
      <c r="AX336" t="s">
        <v>60</v>
      </c>
      <c r="AY336">
        <v>5</v>
      </c>
      <c r="AZ336" t="s">
        <v>64</v>
      </c>
      <c r="BA336">
        <v>6</v>
      </c>
      <c r="BB336">
        <v>8</v>
      </c>
      <c r="BC336" t="s">
        <v>76</v>
      </c>
    </row>
    <row r="337" spans="1:55" x14ac:dyDescent="0.2">
      <c r="A337" s="3" t="s">
        <v>16</v>
      </c>
      <c r="B337" s="3" t="s">
        <v>8</v>
      </c>
      <c r="C337" s="3">
        <v>14.5</v>
      </c>
      <c r="D337" s="3">
        <v>15</v>
      </c>
      <c r="E337" s="3">
        <v>13</v>
      </c>
      <c r="F337" s="3">
        <v>10</v>
      </c>
      <c r="G337" s="3">
        <v>28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0.75</v>
      </c>
      <c r="R337">
        <v>1</v>
      </c>
      <c r="S337">
        <v>0</v>
      </c>
      <c r="T337">
        <f t="shared" si="40"/>
        <v>14.5</v>
      </c>
      <c r="U337">
        <f t="shared" si="41"/>
        <v>15</v>
      </c>
      <c r="V337">
        <f t="shared" si="42"/>
        <v>13</v>
      </c>
      <c r="W337">
        <f t="shared" si="43"/>
        <v>10</v>
      </c>
      <c r="X337">
        <f t="shared" si="44"/>
        <v>28</v>
      </c>
      <c r="Y337" t="str">
        <f>+VLOOKUP(A337,'[1]Tárgy kurzusai'!$A:$C,3,0)</f>
        <v>SZE:15:30-17:00(E.3.324)</v>
      </c>
      <c r="Z337">
        <f>+VLOOKUP(A337,'[1]Tárgy kurzusai'!$A:$F,6,0)</f>
        <v>6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</row>
    <row r="338" spans="1:55" x14ac:dyDescent="0.2">
      <c r="A338" s="3" t="s">
        <v>16</v>
      </c>
      <c r="B338" s="3" t="s">
        <v>8</v>
      </c>
      <c r="C338" s="3">
        <v>11.5</v>
      </c>
      <c r="D338" s="3">
        <v>6.5</v>
      </c>
      <c r="E338" s="3">
        <v>13</v>
      </c>
      <c r="F338" s="3">
        <v>6</v>
      </c>
      <c r="G338" s="3">
        <v>26.5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0.75</v>
      </c>
      <c r="R338">
        <v>1</v>
      </c>
      <c r="S338">
        <v>1</v>
      </c>
      <c r="T338">
        <f t="shared" si="40"/>
        <v>11.5</v>
      </c>
      <c r="U338">
        <f t="shared" si="41"/>
        <v>6.5</v>
      </c>
      <c r="V338">
        <f t="shared" si="42"/>
        <v>13</v>
      </c>
      <c r="W338">
        <f t="shared" si="43"/>
        <v>6</v>
      </c>
      <c r="X338">
        <f t="shared" si="44"/>
        <v>26.5</v>
      </c>
      <c r="Y338" t="str">
        <f>+VLOOKUP(A338,'[1]Tárgy kurzusai'!$A:$C,3,0)</f>
        <v>SZE:15:30-17:00(E.3.324)</v>
      </c>
      <c r="Z338">
        <f>+VLOOKUP(A338,'[1]Tárgy kurzusai'!$A:$F,6,0)</f>
        <v>6</v>
      </c>
      <c r="AA338" t="s">
        <v>49</v>
      </c>
      <c r="AB338" t="s">
        <v>71</v>
      </c>
      <c r="AC338" t="s">
        <v>51</v>
      </c>
      <c r="AD338" t="s">
        <v>73</v>
      </c>
      <c r="AE338" t="s">
        <v>69</v>
      </c>
      <c r="AF338" t="s">
        <v>53</v>
      </c>
      <c r="AG338" t="s">
        <v>55</v>
      </c>
      <c r="AH338" t="s">
        <v>55</v>
      </c>
      <c r="AI338" t="s">
        <v>55</v>
      </c>
      <c r="AJ338" t="s">
        <v>57</v>
      </c>
      <c r="AK338" t="s">
        <v>58</v>
      </c>
      <c r="AL338" t="s">
        <v>59</v>
      </c>
      <c r="AM338" t="s">
        <v>60</v>
      </c>
      <c r="AN338">
        <v>8</v>
      </c>
      <c r="AO338">
        <v>34</v>
      </c>
      <c r="AP338">
        <v>5</v>
      </c>
      <c r="AQ338">
        <v>8</v>
      </c>
      <c r="AR338" t="s">
        <v>55</v>
      </c>
      <c r="AS338" t="s">
        <v>61</v>
      </c>
      <c r="AT338" t="s">
        <v>55</v>
      </c>
      <c r="AU338" t="s">
        <v>62</v>
      </c>
      <c r="AV338" t="s">
        <v>63</v>
      </c>
      <c r="AW338" t="s">
        <v>60</v>
      </c>
      <c r="AX338" t="s">
        <v>60</v>
      </c>
      <c r="AY338">
        <v>3</v>
      </c>
      <c r="AZ338" t="s">
        <v>64</v>
      </c>
      <c r="BA338">
        <v>6</v>
      </c>
      <c r="BB338">
        <v>9</v>
      </c>
      <c r="BC338" t="s">
        <v>82</v>
      </c>
    </row>
    <row r="339" spans="1:55" x14ac:dyDescent="0.2">
      <c r="A339" s="3" t="s">
        <v>16</v>
      </c>
      <c r="B339" s="3" t="s">
        <v>8</v>
      </c>
      <c r="C339" s="3">
        <v>9.5</v>
      </c>
      <c r="D339" s="3">
        <v>5</v>
      </c>
      <c r="E339" s="3">
        <v>8</v>
      </c>
      <c r="F339" s="3">
        <v>14</v>
      </c>
      <c r="G339" s="3">
        <v>26.5</v>
      </c>
      <c r="H339">
        <v>1</v>
      </c>
      <c r="I339">
        <v>1</v>
      </c>
      <c r="J339">
        <v>1</v>
      </c>
      <c r="K339">
        <v>1</v>
      </c>
      <c r="L339">
        <v>0.5</v>
      </c>
      <c r="M339">
        <v>1</v>
      </c>
      <c r="N339">
        <v>1</v>
      </c>
      <c r="O339">
        <v>1</v>
      </c>
      <c r="P339">
        <v>1</v>
      </c>
      <c r="Q339">
        <v>0.5</v>
      </c>
      <c r="R339">
        <v>1</v>
      </c>
      <c r="S339">
        <v>1</v>
      </c>
      <c r="T339">
        <f t="shared" si="40"/>
        <v>9.5</v>
      </c>
      <c r="U339">
        <f t="shared" si="41"/>
        <v>5</v>
      </c>
      <c r="V339">
        <f t="shared" si="42"/>
        <v>8</v>
      </c>
      <c r="W339">
        <f t="shared" si="43"/>
        <v>14</v>
      </c>
      <c r="X339">
        <f t="shared" si="44"/>
        <v>26.5</v>
      </c>
      <c r="Y339" t="str">
        <f>+VLOOKUP(A339,'[1]Tárgy kurzusai'!$A:$C,3,0)</f>
        <v>SZE:15:30-17:00(E.3.324)</v>
      </c>
      <c r="Z339">
        <f>+VLOOKUP(A339,'[1]Tárgy kurzusai'!$A:$F,6,0)</f>
        <v>6</v>
      </c>
      <c r="AA339" t="s">
        <v>66</v>
      </c>
      <c r="AB339" t="s">
        <v>71</v>
      </c>
      <c r="AC339" t="s">
        <v>74</v>
      </c>
      <c r="AD339" t="s">
        <v>60</v>
      </c>
      <c r="AE339" t="s">
        <v>53</v>
      </c>
      <c r="AF339" t="s">
        <v>69</v>
      </c>
      <c r="AG339" t="s">
        <v>55</v>
      </c>
      <c r="AH339" t="s">
        <v>55</v>
      </c>
      <c r="AI339" t="s">
        <v>55</v>
      </c>
      <c r="AJ339" t="s">
        <v>57</v>
      </c>
      <c r="AK339" t="s">
        <v>79</v>
      </c>
      <c r="AL339" t="s">
        <v>59</v>
      </c>
      <c r="AM339" t="s">
        <v>60</v>
      </c>
      <c r="AN339">
        <v>7</v>
      </c>
      <c r="AO339">
        <v>34</v>
      </c>
      <c r="AP339">
        <v>4</v>
      </c>
      <c r="AQ339">
        <v>12</v>
      </c>
      <c r="AR339" t="s">
        <v>55</v>
      </c>
      <c r="AS339" t="s">
        <v>55</v>
      </c>
      <c r="AT339" t="s">
        <v>56</v>
      </c>
      <c r="AU339" t="s">
        <v>62</v>
      </c>
      <c r="AV339" t="s">
        <v>63</v>
      </c>
      <c r="AW339" t="s">
        <v>60</v>
      </c>
      <c r="AX339" t="s">
        <v>60</v>
      </c>
      <c r="AY339">
        <v>4</v>
      </c>
      <c r="AZ339" t="s">
        <v>78</v>
      </c>
      <c r="BA339">
        <v>6</v>
      </c>
      <c r="BB339">
        <v>6</v>
      </c>
      <c r="BC339" t="s">
        <v>65</v>
      </c>
    </row>
    <row r="340" spans="1:55" x14ac:dyDescent="0.2">
      <c r="A340" s="3" t="s">
        <v>16</v>
      </c>
      <c r="B340" s="3" t="s">
        <v>8</v>
      </c>
      <c r="C340" s="3">
        <v>12</v>
      </c>
      <c r="D340" s="3">
        <v>11</v>
      </c>
      <c r="E340" s="3">
        <v>14.5</v>
      </c>
      <c r="F340" s="3">
        <v>16</v>
      </c>
      <c r="G340" s="3">
        <v>34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0.5</v>
      </c>
      <c r="P340">
        <v>1</v>
      </c>
      <c r="Q340">
        <v>1</v>
      </c>
      <c r="R340">
        <v>1</v>
      </c>
      <c r="S340">
        <v>1</v>
      </c>
      <c r="T340">
        <f t="shared" si="40"/>
        <v>12</v>
      </c>
      <c r="U340">
        <f t="shared" si="41"/>
        <v>11</v>
      </c>
      <c r="V340">
        <f t="shared" si="42"/>
        <v>14.5</v>
      </c>
      <c r="W340">
        <f t="shared" si="43"/>
        <v>16</v>
      </c>
      <c r="X340">
        <f t="shared" si="44"/>
        <v>34</v>
      </c>
      <c r="Y340" t="str">
        <f>+VLOOKUP(A340,'[1]Tárgy kurzusai'!$A:$C,3,0)</f>
        <v>SZE:15:30-17:00(E.3.324)</v>
      </c>
      <c r="Z340">
        <f>+VLOOKUP(A340,'[1]Tárgy kurzusai'!$A:$F,6,0)</f>
        <v>6</v>
      </c>
      <c r="AA340" t="s">
        <v>49</v>
      </c>
      <c r="AB340" t="s">
        <v>71</v>
      </c>
      <c r="AC340" t="s">
        <v>74</v>
      </c>
      <c r="AD340" t="s">
        <v>60</v>
      </c>
      <c r="AE340" t="s">
        <v>69</v>
      </c>
      <c r="AF340" t="s">
        <v>69</v>
      </c>
      <c r="AG340" t="s">
        <v>55</v>
      </c>
      <c r="AH340" t="s">
        <v>55</v>
      </c>
      <c r="AI340" t="s">
        <v>55</v>
      </c>
      <c r="AJ340" t="s">
        <v>57</v>
      </c>
      <c r="AK340" t="s">
        <v>58</v>
      </c>
      <c r="AL340" t="s">
        <v>59</v>
      </c>
      <c r="AM340" t="s">
        <v>60</v>
      </c>
      <c r="AN340">
        <v>8</v>
      </c>
      <c r="AO340">
        <v>37</v>
      </c>
      <c r="AP340">
        <v>5</v>
      </c>
      <c r="AQ340">
        <v>6</v>
      </c>
      <c r="AR340" t="s">
        <v>55</v>
      </c>
      <c r="AS340" t="s">
        <v>61</v>
      </c>
      <c r="AT340" t="s">
        <v>56</v>
      </c>
      <c r="AU340" t="s">
        <v>62</v>
      </c>
      <c r="AV340" t="s">
        <v>63</v>
      </c>
      <c r="AW340" t="s">
        <v>60</v>
      </c>
      <c r="AX340" t="s">
        <v>60</v>
      </c>
      <c r="AY340">
        <v>3</v>
      </c>
      <c r="AZ340" t="s">
        <v>64</v>
      </c>
      <c r="BA340">
        <v>5</v>
      </c>
      <c r="BB340">
        <v>7</v>
      </c>
      <c r="BC340" t="s">
        <v>70</v>
      </c>
    </row>
    <row r="341" spans="1:55" x14ac:dyDescent="0.2">
      <c r="A341" s="3" t="s">
        <v>16</v>
      </c>
      <c r="B341" s="3" t="s">
        <v>8</v>
      </c>
      <c r="C341" s="3">
        <v>14</v>
      </c>
      <c r="D341" s="3">
        <v>4.5</v>
      </c>
      <c r="E341" s="3">
        <v>11.5</v>
      </c>
      <c r="F341" s="3">
        <v>15</v>
      </c>
      <c r="G341" s="3">
        <v>30.5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f t="shared" si="40"/>
        <v>14</v>
      </c>
      <c r="U341">
        <f t="shared" si="41"/>
        <v>4.5</v>
      </c>
      <c r="V341">
        <f t="shared" si="42"/>
        <v>11.5</v>
      </c>
      <c r="W341">
        <f t="shared" si="43"/>
        <v>15</v>
      </c>
      <c r="X341">
        <f t="shared" si="44"/>
        <v>30.5</v>
      </c>
      <c r="Y341" t="str">
        <f>+VLOOKUP(A341,'[1]Tárgy kurzusai'!$A:$C,3,0)</f>
        <v>SZE:15:30-17:00(E.3.324)</v>
      </c>
      <c r="Z341">
        <f>+VLOOKUP(A341,'[1]Tárgy kurzusai'!$A:$F,6,0)</f>
        <v>6</v>
      </c>
      <c r="AA341" t="s">
        <v>66</v>
      </c>
      <c r="AB341" t="s">
        <v>71</v>
      </c>
      <c r="AC341" t="s">
        <v>72</v>
      </c>
      <c r="AD341" t="s">
        <v>92</v>
      </c>
      <c r="AE341" t="s">
        <v>69</v>
      </c>
      <c r="AF341" t="s">
        <v>69</v>
      </c>
      <c r="AG341" t="s">
        <v>56</v>
      </c>
      <c r="AH341" t="s">
        <v>55</v>
      </c>
      <c r="AI341" t="s">
        <v>55</v>
      </c>
      <c r="AJ341" t="s">
        <v>57</v>
      </c>
      <c r="AK341" t="s">
        <v>58</v>
      </c>
      <c r="AL341" t="s">
        <v>59</v>
      </c>
      <c r="AM341" t="s">
        <v>60</v>
      </c>
      <c r="AN341">
        <v>6</v>
      </c>
      <c r="AO341">
        <v>33</v>
      </c>
      <c r="AP341">
        <v>5</v>
      </c>
      <c r="AQ341">
        <v>12</v>
      </c>
      <c r="AR341" t="s">
        <v>55</v>
      </c>
      <c r="AS341" t="s">
        <v>55</v>
      </c>
      <c r="AT341" t="s">
        <v>55</v>
      </c>
      <c r="AU341" t="s">
        <v>62</v>
      </c>
      <c r="AV341" t="s">
        <v>63</v>
      </c>
      <c r="AW341" t="s">
        <v>60</v>
      </c>
      <c r="AX341" t="s">
        <v>60</v>
      </c>
      <c r="AY341">
        <v>4</v>
      </c>
      <c r="AZ341" t="s">
        <v>64</v>
      </c>
      <c r="BA341">
        <v>3</v>
      </c>
      <c r="BB341">
        <v>5</v>
      </c>
      <c r="BC341" t="s">
        <v>76</v>
      </c>
    </row>
    <row r="342" spans="1:55" x14ac:dyDescent="0.2">
      <c r="A342" t="s">
        <v>17</v>
      </c>
      <c r="B342" t="s">
        <v>8</v>
      </c>
      <c r="C342" s="3">
        <v>14</v>
      </c>
      <c r="D342" s="3">
        <v>3.5</v>
      </c>
      <c r="E342" s="3">
        <v>14.5</v>
      </c>
      <c r="F342" s="3">
        <v>14</v>
      </c>
      <c r="G342" s="3">
        <v>34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0.5</v>
      </c>
      <c r="R342">
        <v>1</v>
      </c>
      <c r="S342">
        <v>1</v>
      </c>
      <c r="T342">
        <f t="shared" si="40"/>
        <v>14</v>
      </c>
      <c r="U342">
        <f t="shared" si="41"/>
        <v>3.5</v>
      </c>
      <c r="V342">
        <f t="shared" si="42"/>
        <v>14.5</v>
      </c>
      <c r="W342">
        <f t="shared" si="43"/>
        <v>14</v>
      </c>
      <c r="X342">
        <f t="shared" si="44"/>
        <v>34</v>
      </c>
      <c r="Y342" t="str">
        <f>+VLOOKUP(A342,'[1]Tárgy kurzusai'!$A:$C,3,0)</f>
        <v>SZE:15:30-17:00(E.3.309)</v>
      </c>
      <c r="Z342">
        <f>+VLOOKUP(A342,'[1]Tárgy kurzusai'!$A:$F,6,0)</f>
        <v>5</v>
      </c>
      <c r="AA342" t="s">
        <v>49</v>
      </c>
      <c r="AB342" t="s">
        <v>50</v>
      </c>
      <c r="AC342" t="s">
        <v>75</v>
      </c>
      <c r="AD342" t="s">
        <v>87</v>
      </c>
      <c r="AE342" t="s">
        <v>69</v>
      </c>
      <c r="AF342" t="s">
        <v>54</v>
      </c>
      <c r="AG342" t="s">
        <v>55</v>
      </c>
      <c r="AH342" t="s">
        <v>55</v>
      </c>
      <c r="AI342" t="s">
        <v>56</v>
      </c>
      <c r="AJ342" t="s">
        <v>57</v>
      </c>
      <c r="AK342" t="s">
        <v>58</v>
      </c>
      <c r="AL342" t="s">
        <v>59</v>
      </c>
      <c r="AM342" t="s">
        <v>60</v>
      </c>
      <c r="AN342">
        <v>6</v>
      </c>
      <c r="AO342">
        <v>33</v>
      </c>
      <c r="AP342">
        <v>4</v>
      </c>
      <c r="AQ342">
        <v>13</v>
      </c>
      <c r="AR342" t="s">
        <v>55</v>
      </c>
      <c r="AS342" t="s">
        <v>61</v>
      </c>
      <c r="AT342" t="s">
        <v>55</v>
      </c>
      <c r="AU342" t="s">
        <v>62</v>
      </c>
      <c r="AV342" t="s">
        <v>63</v>
      </c>
      <c r="AW342" t="s">
        <v>60</v>
      </c>
      <c r="AX342" t="s">
        <v>60</v>
      </c>
      <c r="AY342">
        <v>5</v>
      </c>
      <c r="AZ342" t="s">
        <v>64</v>
      </c>
      <c r="BA342">
        <v>7</v>
      </c>
      <c r="BB342">
        <v>9</v>
      </c>
      <c r="BC342" t="s">
        <v>65</v>
      </c>
    </row>
    <row r="343" spans="1:55" x14ac:dyDescent="0.2">
      <c r="A343" t="s">
        <v>17</v>
      </c>
      <c r="B343" t="s">
        <v>8</v>
      </c>
      <c r="C343" s="3">
        <v>13</v>
      </c>
      <c r="D343" s="3">
        <v>12.5</v>
      </c>
      <c r="E343" s="3">
        <v>10.5</v>
      </c>
      <c r="F343" s="3">
        <v>12</v>
      </c>
      <c r="G343" s="3">
        <v>23.5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1</v>
      </c>
      <c r="N343">
        <v>1</v>
      </c>
      <c r="O343">
        <v>0</v>
      </c>
      <c r="P343">
        <v>1</v>
      </c>
      <c r="Q343">
        <v>0.5</v>
      </c>
      <c r="R343">
        <v>1</v>
      </c>
      <c r="S343">
        <v>0.5</v>
      </c>
      <c r="T343">
        <f t="shared" si="40"/>
        <v>13</v>
      </c>
      <c r="U343">
        <f t="shared" si="41"/>
        <v>12.5</v>
      </c>
      <c r="V343">
        <f t="shared" si="42"/>
        <v>10.5</v>
      </c>
      <c r="W343">
        <f t="shared" si="43"/>
        <v>12</v>
      </c>
      <c r="X343">
        <f t="shared" si="44"/>
        <v>23.5</v>
      </c>
      <c r="Y343" t="str">
        <f>+VLOOKUP(A343,'[1]Tárgy kurzusai'!$A:$C,3,0)</f>
        <v>SZE:15:30-17:00(E.3.309)</v>
      </c>
      <c r="Z343">
        <f>+VLOOKUP(A343,'[1]Tárgy kurzusai'!$A:$F,6,0)</f>
        <v>5</v>
      </c>
      <c r="AA343" t="s">
        <v>66</v>
      </c>
      <c r="AB343" t="s">
        <v>50</v>
      </c>
      <c r="AC343" t="s">
        <v>75</v>
      </c>
      <c r="AD343" t="s">
        <v>84</v>
      </c>
      <c r="AE343" t="s">
        <v>53</v>
      </c>
      <c r="AF343" t="s">
        <v>60</v>
      </c>
      <c r="AG343" t="s">
        <v>56</v>
      </c>
      <c r="AH343" t="s">
        <v>56</v>
      </c>
      <c r="AI343" t="s">
        <v>56</v>
      </c>
      <c r="AJ343" t="s">
        <v>57</v>
      </c>
      <c r="AK343" t="s">
        <v>58</v>
      </c>
      <c r="AL343" t="s">
        <v>96</v>
      </c>
      <c r="AM343">
        <v>0</v>
      </c>
      <c r="AN343">
        <v>6</v>
      </c>
      <c r="AO343">
        <v>39</v>
      </c>
      <c r="AP343">
        <v>4</v>
      </c>
      <c r="AQ343">
        <v>12</v>
      </c>
      <c r="AR343" t="s">
        <v>55</v>
      </c>
      <c r="AS343" t="s">
        <v>55</v>
      </c>
      <c r="AT343" t="s">
        <v>56</v>
      </c>
      <c r="AU343" t="s">
        <v>62</v>
      </c>
      <c r="AV343" t="s">
        <v>97</v>
      </c>
      <c r="AW343" t="s">
        <v>98</v>
      </c>
      <c r="AX343" t="s">
        <v>60</v>
      </c>
      <c r="AY343">
        <v>5</v>
      </c>
      <c r="AZ343" t="s">
        <v>64</v>
      </c>
      <c r="BA343">
        <v>10</v>
      </c>
      <c r="BB343">
        <v>10</v>
      </c>
      <c r="BC343" t="s">
        <v>70</v>
      </c>
    </row>
    <row r="344" spans="1:55" x14ac:dyDescent="0.2">
      <c r="A344" t="s">
        <v>17</v>
      </c>
      <c r="B344" t="s">
        <v>8</v>
      </c>
      <c r="C344" s="3">
        <v>9.5</v>
      </c>
      <c r="D344" s="3">
        <v>8.5</v>
      </c>
      <c r="E344" s="3">
        <v>7</v>
      </c>
      <c r="F344" s="3">
        <v>11</v>
      </c>
      <c r="G344" s="3">
        <v>20.5</v>
      </c>
      <c r="H344">
        <v>1</v>
      </c>
      <c r="I344">
        <v>0.75</v>
      </c>
      <c r="J344">
        <v>1</v>
      </c>
      <c r="K344">
        <v>1</v>
      </c>
      <c r="L344">
        <v>0</v>
      </c>
      <c r="M344">
        <v>0.75</v>
      </c>
      <c r="N344">
        <v>0.75</v>
      </c>
      <c r="O344">
        <v>1</v>
      </c>
      <c r="P344">
        <v>1</v>
      </c>
      <c r="Q344">
        <v>0</v>
      </c>
      <c r="R344">
        <v>1</v>
      </c>
      <c r="S344">
        <v>1</v>
      </c>
      <c r="T344">
        <f t="shared" si="40"/>
        <v>9.5</v>
      </c>
      <c r="U344">
        <f t="shared" si="41"/>
        <v>8.5</v>
      </c>
      <c r="V344">
        <f t="shared" si="42"/>
        <v>7</v>
      </c>
      <c r="W344">
        <f t="shared" si="43"/>
        <v>11</v>
      </c>
      <c r="X344">
        <f t="shared" si="44"/>
        <v>20.5</v>
      </c>
      <c r="Y344" t="str">
        <f>+VLOOKUP(A344,'[1]Tárgy kurzusai'!$A:$C,3,0)</f>
        <v>SZE:15:30-17:00(E.3.309)</v>
      </c>
      <c r="Z344">
        <f>+VLOOKUP(A344,'[1]Tárgy kurzusai'!$A:$F,6,0)</f>
        <v>5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</row>
    <row r="345" spans="1:55" x14ac:dyDescent="0.2">
      <c r="A345" t="s">
        <v>17</v>
      </c>
      <c r="B345" t="s">
        <v>8</v>
      </c>
      <c r="C345" s="3">
        <v>13.5</v>
      </c>
      <c r="D345" s="3">
        <v>12.5</v>
      </c>
      <c r="E345" s="3">
        <v>12.5</v>
      </c>
      <c r="F345" s="3">
        <v>12.5</v>
      </c>
      <c r="G345" s="3">
        <v>32.5</v>
      </c>
      <c r="H345">
        <v>1</v>
      </c>
      <c r="I345">
        <v>1</v>
      </c>
      <c r="J345">
        <v>0</v>
      </c>
      <c r="K345">
        <v>1</v>
      </c>
      <c r="L345">
        <v>1</v>
      </c>
      <c r="M345">
        <v>0</v>
      </c>
      <c r="N345">
        <v>1</v>
      </c>
      <c r="O345">
        <v>0.5</v>
      </c>
      <c r="P345">
        <v>1</v>
      </c>
      <c r="Q345">
        <v>1</v>
      </c>
      <c r="R345">
        <v>1</v>
      </c>
      <c r="S345">
        <v>1</v>
      </c>
      <c r="T345">
        <f t="shared" si="40"/>
        <v>13.5</v>
      </c>
      <c r="U345">
        <f t="shared" si="41"/>
        <v>12.5</v>
      </c>
      <c r="V345">
        <f t="shared" si="42"/>
        <v>12.5</v>
      </c>
      <c r="W345">
        <f t="shared" si="43"/>
        <v>12.5</v>
      </c>
      <c r="X345">
        <f t="shared" si="44"/>
        <v>32.5</v>
      </c>
      <c r="Y345" t="str">
        <f>+VLOOKUP(A345,'[1]Tárgy kurzusai'!$A:$C,3,0)</f>
        <v>SZE:15:30-17:00(E.3.309)</v>
      </c>
      <c r="Z345">
        <f>+VLOOKUP(A345,'[1]Tárgy kurzusai'!$A:$F,6,0)</f>
        <v>5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</row>
    <row r="346" spans="1:55" x14ac:dyDescent="0.2">
      <c r="A346" t="s">
        <v>17</v>
      </c>
      <c r="B346" t="s">
        <v>8</v>
      </c>
      <c r="C346" s="3">
        <v>10.5</v>
      </c>
      <c r="D346" s="3">
        <v>8.5</v>
      </c>
      <c r="E346" s="3">
        <v>15.5</v>
      </c>
      <c r="F346" s="3">
        <v>8</v>
      </c>
      <c r="G346" s="3">
        <v>24.5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0.5</v>
      </c>
      <c r="R346">
        <v>1</v>
      </c>
      <c r="S346">
        <v>1</v>
      </c>
      <c r="T346">
        <f t="shared" si="40"/>
        <v>10.5</v>
      </c>
      <c r="U346">
        <f t="shared" si="41"/>
        <v>8.5</v>
      </c>
      <c r="V346">
        <f t="shared" si="42"/>
        <v>15.5</v>
      </c>
      <c r="W346">
        <f t="shared" si="43"/>
        <v>8</v>
      </c>
      <c r="X346">
        <f t="shared" si="44"/>
        <v>24.5</v>
      </c>
      <c r="Y346" t="str">
        <f>+VLOOKUP(A346,'[1]Tárgy kurzusai'!$A:$C,3,0)</f>
        <v>SZE:15:30-17:00(E.3.309)</v>
      </c>
      <c r="Z346">
        <f>+VLOOKUP(A346,'[1]Tárgy kurzusai'!$A:$F,6,0)</f>
        <v>5</v>
      </c>
      <c r="AA346" t="s">
        <v>49</v>
      </c>
      <c r="AB346" t="s">
        <v>71</v>
      </c>
      <c r="AC346" t="s">
        <v>74</v>
      </c>
      <c r="AD346" t="s">
        <v>60</v>
      </c>
      <c r="AE346" t="s">
        <v>69</v>
      </c>
      <c r="AF346" t="s">
        <v>69</v>
      </c>
      <c r="AG346" t="s">
        <v>55</v>
      </c>
      <c r="AH346" t="s">
        <v>55</v>
      </c>
      <c r="AI346" t="s">
        <v>55</v>
      </c>
      <c r="AJ346" t="s">
        <v>57</v>
      </c>
      <c r="AK346" t="s">
        <v>58</v>
      </c>
      <c r="AL346" t="s">
        <v>59</v>
      </c>
      <c r="AM346" t="s">
        <v>60</v>
      </c>
      <c r="AN346">
        <v>8</v>
      </c>
      <c r="AO346">
        <v>36</v>
      </c>
      <c r="AP346">
        <v>5</v>
      </c>
      <c r="AQ346">
        <v>13</v>
      </c>
      <c r="AR346" t="s">
        <v>55</v>
      </c>
      <c r="AS346" t="s">
        <v>55</v>
      </c>
      <c r="AT346" t="s">
        <v>56</v>
      </c>
      <c r="AU346" t="s">
        <v>62</v>
      </c>
      <c r="AV346" t="s">
        <v>63</v>
      </c>
      <c r="AW346" t="s">
        <v>60</v>
      </c>
      <c r="AX346" t="s">
        <v>60</v>
      </c>
      <c r="AY346">
        <v>4</v>
      </c>
      <c r="AZ346" t="s">
        <v>64</v>
      </c>
      <c r="BA346">
        <v>6</v>
      </c>
      <c r="BB346">
        <v>6</v>
      </c>
      <c r="BC346" t="s">
        <v>76</v>
      </c>
    </row>
    <row r="347" spans="1:55" x14ac:dyDescent="0.2">
      <c r="A347" t="s">
        <v>17</v>
      </c>
      <c r="B347" t="s">
        <v>8</v>
      </c>
      <c r="C347" s="3">
        <v>11</v>
      </c>
      <c r="D347" s="3">
        <v>7.5</v>
      </c>
      <c r="E347" s="3">
        <v>11</v>
      </c>
      <c r="F347" s="3">
        <v>14</v>
      </c>
      <c r="G347" s="3">
        <v>25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0.33</v>
      </c>
      <c r="P347">
        <v>1</v>
      </c>
      <c r="Q347">
        <v>0.75</v>
      </c>
      <c r="R347">
        <v>1</v>
      </c>
      <c r="S347">
        <v>1</v>
      </c>
      <c r="T347">
        <f t="shared" si="40"/>
        <v>11</v>
      </c>
      <c r="U347">
        <f t="shared" si="41"/>
        <v>7.5</v>
      </c>
      <c r="V347">
        <f t="shared" si="42"/>
        <v>11</v>
      </c>
      <c r="W347">
        <f t="shared" si="43"/>
        <v>14</v>
      </c>
      <c r="X347">
        <f t="shared" si="44"/>
        <v>25</v>
      </c>
      <c r="Y347" t="str">
        <f>+VLOOKUP(A347,'[1]Tárgy kurzusai'!$A:$C,3,0)</f>
        <v>SZE:15:30-17:00(E.3.309)</v>
      </c>
      <c r="Z347">
        <f>+VLOOKUP(A347,'[1]Tárgy kurzusai'!$A:$F,6,0)</f>
        <v>5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</row>
    <row r="348" spans="1:55" x14ac:dyDescent="0.2">
      <c r="A348" t="s">
        <v>17</v>
      </c>
      <c r="B348" t="s">
        <v>8</v>
      </c>
      <c r="C348" s="3">
        <v>13</v>
      </c>
      <c r="D348" s="3">
        <v>6</v>
      </c>
      <c r="E348" s="3">
        <v>12.5</v>
      </c>
      <c r="F348" s="3">
        <v>7.5</v>
      </c>
      <c r="G348" s="3">
        <v>29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1</v>
      </c>
      <c r="P348">
        <v>1</v>
      </c>
      <c r="Q348">
        <v>0.25</v>
      </c>
      <c r="R348">
        <v>1</v>
      </c>
      <c r="S348">
        <v>1</v>
      </c>
      <c r="T348">
        <f t="shared" si="40"/>
        <v>13</v>
      </c>
      <c r="U348">
        <f t="shared" si="41"/>
        <v>6</v>
      </c>
      <c r="V348">
        <f t="shared" si="42"/>
        <v>12.5</v>
      </c>
      <c r="W348">
        <f t="shared" si="43"/>
        <v>7.5</v>
      </c>
      <c r="X348">
        <f t="shared" si="44"/>
        <v>29</v>
      </c>
      <c r="Y348" t="str">
        <f>+VLOOKUP(A348,'[1]Tárgy kurzusai'!$A:$C,3,0)</f>
        <v>SZE:15:30-17:00(E.3.309)</v>
      </c>
      <c r="Z348">
        <f>+VLOOKUP(A348,'[1]Tárgy kurzusai'!$A:$F,6,0)</f>
        <v>5</v>
      </c>
      <c r="AA348" t="s">
        <v>66</v>
      </c>
      <c r="AB348" t="s">
        <v>71</v>
      </c>
      <c r="AC348" t="s">
        <v>72</v>
      </c>
      <c r="AD348" t="s">
        <v>52</v>
      </c>
      <c r="AE348" t="s">
        <v>53</v>
      </c>
      <c r="AF348" t="s">
        <v>54</v>
      </c>
      <c r="AG348" t="s">
        <v>55</v>
      </c>
      <c r="AH348" t="s">
        <v>55</v>
      </c>
      <c r="AI348" t="s">
        <v>55</v>
      </c>
      <c r="AJ348" t="s">
        <v>60</v>
      </c>
      <c r="AK348" t="s">
        <v>58</v>
      </c>
      <c r="AL348" t="s">
        <v>59</v>
      </c>
      <c r="AM348" t="s">
        <v>60</v>
      </c>
      <c r="AN348">
        <v>6</v>
      </c>
      <c r="AO348">
        <v>33</v>
      </c>
      <c r="AP348">
        <v>5</v>
      </c>
      <c r="AQ348">
        <v>14</v>
      </c>
      <c r="AR348" t="s">
        <v>55</v>
      </c>
      <c r="AS348" t="s">
        <v>61</v>
      </c>
      <c r="AT348" t="s">
        <v>56</v>
      </c>
      <c r="AU348" t="s">
        <v>62</v>
      </c>
      <c r="AV348" t="s">
        <v>63</v>
      </c>
      <c r="AW348" t="s">
        <v>60</v>
      </c>
      <c r="AX348" t="s">
        <v>60</v>
      </c>
      <c r="AY348">
        <v>3</v>
      </c>
      <c r="AZ348" t="s">
        <v>64</v>
      </c>
      <c r="BA348">
        <v>5</v>
      </c>
      <c r="BB348">
        <v>8</v>
      </c>
      <c r="BC348" t="s">
        <v>65</v>
      </c>
    </row>
    <row r="349" spans="1:55" x14ac:dyDescent="0.2">
      <c r="A349" t="s">
        <v>17</v>
      </c>
      <c r="B349" t="s">
        <v>8</v>
      </c>
      <c r="C349" s="3">
        <v>16</v>
      </c>
      <c r="D349" s="3">
        <v>15</v>
      </c>
      <c r="E349" s="3">
        <v>10.5</v>
      </c>
      <c r="F349" s="3">
        <v>16</v>
      </c>
      <c r="G349" s="3">
        <v>25.5</v>
      </c>
      <c r="H349">
        <v>1</v>
      </c>
      <c r="I349">
        <v>1</v>
      </c>
      <c r="J349">
        <v>1</v>
      </c>
      <c r="K349">
        <v>1</v>
      </c>
      <c r="L349">
        <v>0.5</v>
      </c>
      <c r="M349">
        <v>0.75</v>
      </c>
      <c r="N349">
        <v>1</v>
      </c>
      <c r="O349">
        <v>1</v>
      </c>
      <c r="P349">
        <v>1</v>
      </c>
      <c r="Q349">
        <v>0.5</v>
      </c>
      <c r="R349">
        <v>1</v>
      </c>
      <c r="S349">
        <v>1</v>
      </c>
      <c r="T349">
        <f t="shared" si="40"/>
        <v>16</v>
      </c>
      <c r="U349">
        <f t="shared" si="41"/>
        <v>15</v>
      </c>
      <c r="V349">
        <f t="shared" si="42"/>
        <v>10.5</v>
      </c>
      <c r="W349">
        <f t="shared" si="43"/>
        <v>16</v>
      </c>
      <c r="X349">
        <f t="shared" si="44"/>
        <v>25.5</v>
      </c>
      <c r="Y349" t="str">
        <f>+VLOOKUP(A349,'[1]Tárgy kurzusai'!$A:$C,3,0)</f>
        <v>SZE:15:30-17:00(E.3.309)</v>
      </c>
      <c r="Z349">
        <f>+VLOOKUP(A349,'[1]Tárgy kurzusai'!$A:$F,6,0)</f>
        <v>5</v>
      </c>
      <c r="AA349" t="s">
        <v>49</v>
      </c>
      <c r="AB349" t="s">
        <v>71</v>
      </c>
      <c r="AC349" t="s">
        <v>72</v>
      </c>
      <c r="AD349" t="s">
        <v>93</v>
      </c>
      <c r="AE349" t="s">
        <v>53</v>
      </c>
      <c r="AF349" t="s">
        <v>69</v>
      </c>
      <c r="AG349" t="s">
        <v>55</v>
      </c>
      <c r="AH349" t="s">
        <v>55</v>
      </c>
      <c r="AI349" t="s">
        <v>55</v>
      </c>
      <c r="AJ349" t="s">
        <v>57</v>
      </c>
      <c r="AK349" t="s">
        <v>58</v>
      </c>
      <c r="AL349" t="s">
        <v>59</v>
      </c>
      <c r="AM349" t="s">
        <v>60</v>
      </c>
      <c r="AN349">
        <v>6</v>
      </c>
      <c r="AO349">
        <v>33</v>
      </c>
      <c r="AP349">
        <v>5</v>
      </c>
      <c r="AQ349">
        <v>12</v>
      </c>
      <c r="AR349" t="s">
        <v>55</v>
      </c>
      <c r="AS349" t="s">
        <v>55</v>
      </c>
      <c r="AT349" t="s">
        <v>55</v>
      </c>
      <c r="AU349" t="s">
        <v>62</v>
      </c>
      <c r="AV349" t="s">
        <v>63</v>
      </c>
      <c r="AW349" t="s">
        <v>60</v>
      </c>
      <c r="AX349" t="s">
        <v>60</v>
      </c>
      <c r="AY349">
        <v>4</v>
      </c>
      <c r="AZ349" t="s">
        <v>64</v>
      </c>
      <c r="BA349">
        <v>4</v>
      </c>
      <c r="BB349">
        <v>6</v>
      </c>
      <c r="BC349" t="s">
        <v>65</v>
      </c>
    </row>
    <row r="350" spans="1:55" x14ac:dyDescent="0.2">
      <c r="A350" t="s">
        <v>17</v>
      </c>
      <c r="B350" t="s">
        <v>8</v>
      </c>
      <c r="C350" s="3">
        <v>13</v>
      </c>
      <c r="D350" s="3">
        <v>10</v>
      </c>
      <c r="E350" s="3">
        <v>11.5</v>
      </c>
      <c r="F350" s="3">
        <v>9.5</v>
      </c>
      <c r="G350" s="3">
        <v>25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0.75</v>
      </c>
      <c r="O350">
        <v>1</v>
      </c>
      <c r="P350">
        <v>1</v>
      </c>
      <c r="Q350">
        <v>0.5</v>
      </c>
      <c r="R350">
        <v>1</v>
      </c>
      <c r="S350">
        <v>1</v>
      </c>
      <c r="T350">
        <f t="shared" si="40"/>
        <v>13</v>
      </c>
      <c r="U350">
        <f t="shared" si="41"/>
        <v>10</v>
      </c>
      <c r="V350">
        <f t="shared" si="42"/>
        <v>11.5</v>
      </c>
      <c r="W350">
        <f t="shared" si="43"/>
        <v>9.5</v>
      </c>
      <c r="X350">
        <f t="shared" si="44"/>
        <v>25</v>
      </c>
      <c r="Y350" t="str">
        <f>+VLOOKUP(A350,'[1]Tárgy kurzusai'!$A:$C,3,0)</f>
        <v>SZE:15:30-17:00(E.3.309)</v>
      </c>
      <c r="Z350">
        <f>+VLOOKUP(A350,'[1]Tárgy kurzusai'!$A:$F,6,0)</f>
        <v>5</v>
      </c>
      <c r="AA350" t="s">
        <v>49</v>
      </c>
      <c r="AB350" t="s">
        <v>50</v>
      </c>
      <c r="AC350" t="s">
        <v>74</v>
      </c>
      <c r="AD350" t="s">
        <v>60</v>
      </c>
      <c r="AE350" t="s">
        <v>69</v>
      </c>
      <c r="AF350" t="s">
        <v>69</v>
      </c>
      <c r="AG350" t="s">
        <v>55</v>
      </c>
      <c r="AH350" t="s">
        <v>55</v>
      </c>
      <c r="AI350" t="s">
        <v>55</v>
      </c>
      <c r="AJ350" t="s">
        <v>57</v>
      </c>
      <c r="AK350" t="s">
        <v>58</v>
      </c>
      <c r="AL350" t="s">
        <v>59</v>
      </c>
      <c r="AM350" t="s">
        <v>60</v>
      </c>
      <c r="AN350">
        <v>7</v>
      </c>
      <c r="AO350">
        <v>34</v>
      </c>
      <c r="AP350">
        <v>4</v>
      </c>
      <c r="AQ350">
        <v>14</v>
      </c>
      <c r="AR350" t="s">
        <v>55</v>
      </c>
      <c r="AS350" t="s">
        <v>55</v>
      </c>
      <c r="AT350" t="s">
        <v>56</v>
      </c>
      <c r="AU350" t="s">
        <v>62</v>
      </c>
      <c r="AV350" t="s">
        <v>63</v>
      </c>
      <c r="AW350" t="s">
        <v>60</v>
      </c>
      <c r="AX350" t="s">
        <v>60</v>
      </c>
      <c r="AY350">
        <v>1</v>
      </c>
      <c r="AZ350" t="s">
        <v>78</v>
      </c>
      <c r="BA350">
        <v>6</v>
      </c>
      <c r="BB350">
        <v>3</v>
      </c>
      <c r="BC350" t="s">
        <v>76</v>
      </c>
    </row>
    <row r="351" spans="1:55" x14ac:dyDescent="0.2">
      <c r="A351" t="s">
        <v>17</v>
      </c>
      <c r="B351" t="s">
        <v>8</v>
      </c>
      <c r="C351" s="3">
        <v>10</v>
      </c>
      <c r="D351" s="3">
        <v>0</v>
      </c>
      <c r="E351" s="3">
        <v>12</v>
      </c>
      <c r="F351" s="3">
        <v>4</v>
      </c>
      <c r="G351" s="3">
        <v>28</v>
      </c>
      <c r="H351">
        <v>1</v>
      </c>
      <c r="I351">
        <v>0.75</v>
      </c>
      <c r="J351">
        <v>1</v>
      </c>
      <c r="K351">
        <v>1</v>
      </c>
      <c r="L351">
        <v>0</v>
      </c>
      <c r="M351">
        <v>0.75</v>
      </c>
      <c r="N351">
        <v>0.75</v>
      </c>
      <c r="O351">
        <v>1</v>
      </c>
      <c r="P351">
        <v>1</v>
      </c>
      <c r="Q351">
        <v>0.75</v>
      </c>
      <c r="R351">
        <v>1</v>
      </c>
      <c r="S351">
        <v>1</v>
      </c>
      <c r="T351">
        <f t="shared" si="40"/>
        <v>10</v>
      </c>
      <c r="U351">
        <f t="shared" si="41"/>
        <v>0</v>
      </c>
      <c r="V351">
        <f t="shared" si="42"/>
        <v>12</v>
      </c>
      <c r="W351">
        <f t="shared" si="43"/>
        <v>4</v>
      </c>
      <c r="X351">
        <f t="shared" si="44"/>
        <v>28</v>
      </c>
      <c r="Y351" t="str">
        <f>+VLOOKUP(A351,'[1]Tárgy kurzusai'!$A:$C,3,0)</f>
        <v>SZE:15:30-17:00(E.3.309)</v>
      </c>
      <c r="Z351">
        <f>+VLOOKUP(A351,'[1]Tárgy kurzusai'!$A:$F,6,0)</f>
        <v>5</v>
      </c>
      <c r="AA351" t="s">
        <v>49</v>
      </c>
      <c r="AB351" t="s">
        <v>50</v>
      </c>
      <c r="AC351" t="s">
        <v>74</v>
      </c>
      <c r="AD351" t="s">
        <v>60</v>
      </c>
      <c r="AE351" t="s">
        <v>69</v>
      </c>
      <c r="AF351" t="s">
        <v>69</v>
      </c>
      <c r="AG351" t="s">
        <v>55</v>
      </c>
      <c r="AH351" t="s">
        <v>55</v>
      </c>
      <c r="AI351" t="s">
        <v>55</v>
      </c>
      <c r="AJ351" t="s">
        <v>57</v>
      </c>
      <c r="AK351" t="s">
        <v>79</v>
      </c>
      <c r="AL351" t="s">
        <v>59</v>
      </c>
      <c r="AM351" t="s">
        <v>60</v>
      </c>
      <c r="AN351">
        <v>6</v>
      </c>
      <c r="AO351">
        <v>27</v>
      </c>
      <c r="AP351">
        <v>4</v>
      </c>
      <c r="AQ351">
        <v>3</v>
      </c>
      <c r="AR351" t="s">
        <v>55</v>
      </c>
      <c r="AS351" t="s">
        <v>61</v>
      </c>
      <c r="AT351" t="s">
        <v>56</v>
      </c>
      <c r="AU351" t="s">
        <v>62</v>
      </c>
      <c r="AV351" t="s">
        <v>63</v>
      </c>
      <c r="AW351" t="s">
        <v>60</v>
      </c>
      <c r="AX351" t="s">
        <v>60</v>
      </c>
      <c r="AY351">
        <v>5</v>
      </c>
      <c r="AZ351" t="s">
        <v>64</v>
      </c>
      <c r="BA351">
        <v>7</v>
      </c>
      <c r="BB351">
        <v>4</v>
      </c>
      <c r="BC351" t="s">
        <v>70</v>
      </c>
    </row>
    <row r="352" spans="1:55" x14ac:dyDescent="0.2">
      <c r="A352" t="s">
        <v>17</v>
      </c>
      <c r="B352" t="s">
        <v>8</v>
      </c>
      <c r="C352" s="3">
        <v>14.5</v>
      </c>
      <c r="D352" s="3">
        <v>4</v>
      </c>
      <c r="E352" s="3">
        <v>0</v>
      </c>
      <c r="F352" s="3">
        <v>0</v>
      </c>
      <c r="G352" s="3" t="e">
        <v>#N/A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0.5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f t="shared" si="40"/>
        <v>14.5</v>
      </c>
      <c r="U352">
        <f t="shared" si="41"/>
        <v>4</v>
      </c>
      <c r="V352">
        <f t="shared" si="42"/>
        <v>0</v>
      </c>
      <c r="W352">
        <f t="shared" si="43"/>
        <v>0</v>
      </c>
      <c r="X352" t="e">
        <f t="shared" si="44"/>
        <v>#N/A</v>
      </c>
      <c r="Y352" t="str">
        <f>+VLOOKUP(A352,'[1]Tárgy kurzusai'!$A:$C,3,0)</f>
        <v>SZE:15:30-17:00(E.3.309)</v>
      </c>
      <c r="Z352">
        <f>+VLOOKUP(A352,'[1]Tárgy kurzusai'!$A:$F,6,0)</f>
        <v>5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</row>
    <row r="353" spans="1:55" x14ac:dyDescent="0.2">
      <c r="A353" t="s">
        <v>17</v>
      </c>
      <c r="B353" t="s">
        <v>8</v>
      </c>
      <c r="C353" s="3">
        <v>0</v>
      </c>
      <c r="D353" s="3">
        <v>6</v>
      </c>
      <c r="E353" s="3">
        <v>0</v>
      </c>
      <c r="F353" s="3">
        <v>0</v>
      </c>
      <c r="G353" s="3">
        <v>0</v>
      </c>
      <c r="H353">
        <v>1</v>
      </c>
      <c r="I353">
        <v>0.75</v>
      </c>
      <c r="J353">
        <v>1</v>
      </c>
      <c r="K353">
        <v>1</v>
      </c>
      <c r="L353">
        <v>1</v>
      </c>
      <c r="M353">
        <v>0.75</v>
      </c>
      <c r="N353">
        <v>1</v>
      </c>
      <c r="O353">
        <v>0</v>
      </c>
      <c r="P353">
        <v>1</v>
      </c>
      <c r="Q353">
        <v>0.5</v>
      </c>
      <c r="R353">
        <v>1</v>
      </c>
      <c r="S353">
        <v>1</v>
      </c>
      <c r="T353">
        <f t="shared" si="40"/>
        <v>0</v>
      </c>
      <c r="U353">
        <f t="shared" si="41"/>
        <v>6</v>
      </c>
      <c r="V353">
        <f t="shared" si="42"/>
        <v>0</v>
      </c>
      <c r="W353">
        <f t="shared" si="43"/>
        <v>0</v>
      </c>
      <c r="X353">
        <f t="shared" si="44"/>
        <v>0</v>
      </c>
      <c r="Y353" t="str">
        <f>+VLOOKUP(A353,'[1]Tárgy kurzusai'!$A:$C,3,0)</f>
        <v>SZE:15:30-17:00(E.3.309)</v>
      </c>
      <c r="Z353">
        <f>+VLOOKUP(A353,'[1]Tárgy kurzusai'!$A:$F,6,0)</f>
        <v>5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</row>
    <row r="354" spans="1:55" x14ac:dyDescent="0.2">
      <c r="A354" t="s">
        <v>17</v>
      </c>
      <c r="B354" t="s">
        <v>8</v>
      </c>
      <c r="C354" s="3">
        <v>9</v>
      </c>
      <c r="D354" s="3">
        <v>5.5</v>
      </c>
      <c r="E354" s="3">
        <v>9.5</v>
      </c>
      <c r="F354" s="3">
        <v>11</v>
      </c>
      <c r="G354" s="3">
        <v>26.5</v>
      </c>
      <c r="H354">
        <v>1</v>
      </c>
      <c r="I354">
        <v>1</v>
      </c>
      <c r="J354">
        <v>0.5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0.25</v>
      </c>
      <c r="R354">
        <v>0.5</v>
      </c>
      <c r="S354">
        <v>1</v>
      </c>
      <c r="T354">
        <f t="shared" si="40"/>
        <v>9</v>
      </c>
      <c r="U354">
        <f t="shared" si="41"/>
        <v>5.5</v>
      </c>
      <c r="V354">
        <f t="shared" si="42"/>
        <v>9.5</v>
      </c>
      <c r="W354">
        <f t="shared" si="43"/>
        <v>11</v>
      </c>
      <c r="X354">
        <f t="shared" si="44"/>
        <v>26.5</v>
      </c>
      <c r="Y354" t="str">
        <f>+VLOOKUP(A354,'[1]Tárgy kurzusai'!$A:$C,3,0)</f>
        <v>SZE:15:30-17:00(E.3.309)</v>
      </c>
      <c r="Z354">
        <f>+VLOOKUP(A354,'[1]Tárgy kurzusai'!$A:$F,6,0)</f>
        <v>5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</row>
    <row r="355" spans="1:55" x14ac:dyDescent="0.2">
      <c r="A355" t="s">
        <v>17</v>
      </c>
      <c r="B355" t="s">
        <v>8</v>
      </c>
      <c r="C355" s="3">
        <v>9.5</v>
      </c>
      <c r="D355" s="3">
        <v>5.5</v>
      </c>
      <c r="E355" s="3">
        <v>6</v>
      </c>
      <c r="F355" s="3">
        <v>6</v>
      </c>
      <c r="G355" s="3">
        <v>21.5</v>
      </c>
      <c r="H355">
        <v>1</v>
      </c>
      <c r="I355">
        <v>0.5</v>
      </c>
      <c r="J355">
        <v>0.75</v>
      </c>
      <c r="K355">
        <v>1</v>
      </c>
      <c r="L355">
        <v>0.5</v>
      </c>
      <c r="M355">
        <v>0.75</v>
      </c>
      <c r="N355">
        <v>0.75</v>
      </c>
      <c r="O355">
        <v>0.67</v>
      </c>
      <c r="P355">
        <v>1</v>
      </c>
      <c r="Q355">
        <v>0.75</v>
      </c>
      <c r="R355">
        <v>1</v>
      </c>
      <c r="S355">
        <v>1</v>
      </c>
      <c r="T355">
        <f t="shared" si="40"/>
        <v>9.5</v>
      </c>
      <c r="U355">
        <f t="shared" si="41"/>
        <v>5.5</v>
      </c>
      <c r="V355">
        <f t="shared" si="42"/>
        <v>6</v>
      </c>
      <c r="W355">
        <f t="shared" si="43"/>
        <v>6</v>
      </c>
      <c r="X355">
        <f t="shared" si="44"/>
        <v>21.5</v>
      </c>
      <c r="Y355" t="str">
        <f>+VLOOKUP(A355,'[1]Tárgy kurzusai'!$A:$C,3,0)</f>
        <v>SZE:15:30-17:00(E.3.309)</v>
      </c>
      <c r="Z355">
        <f>+VLOOKUP(A355,'[1]Tárgy kurzusai'!$A:$F,6,0)</f>
        <v>5</v>
      </c>
      <c r="AA355" t="s">
        <v>66</v>
      </c>
      <c r="AB355" t="s">
        <v>50</v>
      </c>
      <c r="AC355" t="s">
        <v>72</v>
      </c>
      <c r="AD355" t="s">
        <v>85</v>
      </c>
      <c r="AE355" t="s">
        <v>69</v>
      </c>
      <c r="AF355" t="s">
        <v>69</v>
      </c>
      <c r="AG355" t="s">
        <v>55</v>
      </c>
      <c r="AH355" t="s">
        <v>55</v>
      </c>
      <c r="AI355" t="s">
        <v>55</v>
      </c>
      <c r="AJ355" t="s">
        <v>57</v>
      </c>
      <c r="AK355" t="s">
        <v>79</v>
      </c>
      <c r="AL355" t="s">
        <v>96</v>
      </c>
      <c r="AM355">
        <v>0</v>
      </c>
      <c r="AN355">
        <v>9</v>
      </c>
      <c r="AO355">
        <v>42</v>
      </c>
      <c r="AP355">
        <v>7</v>
      </c>
      <c r="AQ355">
        <v>14</v>
      </c>
      <c r="AR355" t="s">
        <v>55</v>
      </c>
      <c r="AS355" t="s">
        <v>61</v>
      </c>
      <c r="AT355" t="s">
        <v>56</v>
      </c>
      <c r="AU355" t="s">
        <v>62</v>
      </c>
      <c r="AV355" t="s">
        <v>97</v>
      </c>
      <c r="AW355" t="s">
        <v>98</v>
      </c>
      <c r="AX355" t="s">
        <v>60</v>
      </c>
      <c r="AY355">
        <v>1</v>
      </c>
      <c r="AZ355" t="s">
        <v>99</v>
      </c>
      <c r="BA355">
        <v>7</v>
      </c>
      <c r="BB355">
        <v>7</v>
      </c>
      <c r="BC355" t="s">
        <v>76</v>
      </c>
    </row>
    <row r="356" spans="1:55" x14ac:dyDescent="0.2">
      <c r="A356" t="s">
        <v>17</v>
      </c>
      <c r="B356" t="s">
        <v>8</v>
      </c>
      <c r="C356" s="3">
        <v>15</v>
      </c>
      <c r="D356" s="3">
        <v>11</v>
      </c>
      <c r="E356" s="3">
        <v>15.5</v>
      </c>
      <c r="F356" s="3">
        <v>10</v>
      </c>
      <c r="G356" s="3">
        <v>35.5</v>
      </c>
      <c r="H356">
        <v>1</v>
      </c>
      <c r="I356">
        <v>1</v>
      </c>
      <c r="J356">
        <v>1</v>
      </c>
      <c r="K356">
        <v>1</v>
      </c>
      <c r="L356">
        <v>0.5</v>
      </c>
      <c r="M356">
        <v>0.75</v>
      </c>
      <c r="N356">
        <v>1</v>
      </c>
      <c r="O356">
        <v>0.67</v>
      </c>
      <c r="P356">
        <v>1</v>
      </c>
      <c r="Q356">
        <v>0.75</v>
      </c>
      <c r="R356">
        <v>1</v>
      </c>
      <c r="S356">
        <v>1</v>
      </c>
      <c r="T356">
        <f t="shared" si="40"/>
        <v>15</v>
      </c>
      <c r="U356">
        <f t="shared" si="41"/>
        <v>11</v>
      </c>
      <c r="V356">
        <f t="shared" si="42"/>
        <v>15.5</v>
      </c>
      <c r="W356">
        <f t="shared" si="43"/>
        <v>10</v>
      </c>
      <c r="X356">
        <f t="shared" si="44"/>
        <v>35.5</v>
      </c>
      <c r="Y356" t="str">
        <f>+VLOOKUP(A356,'[1]Tárgy kurzusai'!$A:$C,3,0)</f>
        <v>SZE:15:30-17:00(E.3.309)</v>
      </c>
      <c r="Z356">
        <f>+VLOOKUP(A356,'[1]Tárgy kurzusai'!$A:$F,6,0)</f>
        <v>5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</row>
    <row r="357" spans="1:55" x14ac:dyDescent="0.2">
      <c r="A357" t="s">
        <v>17</v>
      </c>
      <c r="B357" t="s">
        <v>8</v>
      </c>
      <c r="C357" s="3">
        <v>12</v>
      </c>
      <c r="D357" s="3">
        <v>8.5</v>
      </c>
      <c r="E357" s="3">
        <v>8.5</v>
      </c>
      <c r="F357" s="3">
        <v>11</v>
      </c>
      <c r="G357" s="3">
        <v>30.5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1</v>
      </c>
      <c r="Q357">
        <v>0.5</v>
      </c>
      <c r="R357">
        <v>1</v>
      </c>
      <c r="S357">
        <v>1</v>
      </c>
      <c r="T357">
        <f t="shared" si="40"/>
        <v>12</v>
      </c>
      <c r="U357">
        <f t="shared" si="41"/>
        <v>8.5</v>
      </c>
      <c r="V357">
        <f t="shared" si="42"/>
        <v>8.5</v>
      </c>
      <c r="W357">
        <f t="shared" si="43"/>
        <v>11</v>
      </c>
      <c r="X357">
        <f t="shared" si="44"/>
        <v>30.5</v>
      </c>
      <c r="Y357" t="str">
        <f>+VLOOKUP(A357,'[1]Tárgy kurzusai'!$A:$C,3,0)</f>
        <v>SZE:15:30-17:00(E.3.309)</v>
      </c>
      <c r="Z357">
        <f>+VLOOKUP(A357,'[1]Tárgy kurzusai'!$A:$F,6,0)</f>
        <v>5</v>
      </c>
      <c r="AA357" t="s">
        <v>66</v>
      </c>
      <c r="AB357" t="s">
        <v>71</v>
      </c>
      <c r="AC357" t="s">
        <v>51</v>
      </c>
      <c r="AD357" t="s">
        <v>68</v>
      </c>
      <c r="AE357" t="s">
        <v>69</v>
      </c>
      <c r="AF357" t="s">
        <v>69</v>
      </c>
      <c r="AG357" t="s">
        <v>55</v>
      </c>
      <c r="AH357" t="s">
        <v>55</v>
      </c>
      <c r="AI357" t="s">
        <v>55</v>
      </c>
      <c r="AJ357" t="s">
        <v>57</v>
      </c>
      <c r="AK357" t="s">
        <v>58</v>
      </c>
      <c r="AL357" t="s">
        <v>59</v>
      </c>
      <c r="AM357" t="s">
        <v>60</v>
      </c>
      <c r="AN357">
        <v>7</v>
      </c>
      <c r="AO357">
        <v>33</v>
      </c>
      <c r="AP357">
        <v>5</v>
      </c>
      <c r="AQ357">
        <v>14</v>
      </c>
      <c r="AR357" t="s">
        <v>55</v>
      </c>
      <c r="AS357" t="s">
        <v>55</v>
      </c>
      <c r="AT357" t="s">
        <v>56</v>
      </c>
      <c r="AU357" t="s">
        <v>62</v>
      </c>
      <c r="AV357" t="s">
        <v>63</v>
      </c>
      <c r="AW357" t="s">
        <v>60</v>
      </c>
      <c r="AX357" t="s">
        <v>60</v>
      </c>
      <c r="AY357">
        <v>4</v>
      </c>
      <c r="AZ357" t="s">
        <v>78</v>
      </c>
      <c r="BA357">
        <v>5</v>
      </c>
      <c r="BB357">
        <v>4</v>
      </c>
      <c r="BC357" t="s">
        <v>65</v>
      </c>
    </row>
    <row r="358" spans="1:55" x14ac:dyDescent="0.2">
      <c r="A358" t="s">
        <v>17</v>
      </c>
      <c r="B358" t="s">
        <v>8</v>
      </c>
      <c r="C358" s="3">
        <v>11</v>
      </c>
      <c r="D358" s="3">
        <v>5</v>
      </c>
      <c r="E358" s="3">
        <v>11</v>
      </c>
      <c r="F358" s="3">
        <v>12</v>
      </c>
      <c r="G358" s="3">
        <v>26</v>
      </c>
      <c r="H358">
        <v>1</v>
      </c>
      <c r="I358">
        <v>1</v>
      </c>
      <c r="J358">
        <v>0.75</v>
      </c>
      <c r="K358">
        <v>0</v>
      </c>
      <c r="L358">
        <v>1</v>
      </c>
      <c r="M358">
        <v>1</v>
      </c>
      <c r="N358">
        <v>1</v>
      </c>
      <c r="O358">
        <v>0.17</v>
      </c>
      <c r="P358">
        <v>1</v>
      </c>
      <c r="Q358">
        <v>0.5</v>
      </c>
      <c r="R358">
        <v>0.75</v>
      </c>
      <c r="S358">
        <v>1</v>
      </c>
      <c r="T358">
        <f t="shared" si="40"/>
        <v>11</v>
      </c>
      <c r="U358">
        <f t="shared" si="41"/>
        <v>5</v>
      </c>
      <c r="V358">
        <f t="shared" si="42"/>
        <v>11</v>
      </c>
      <c r="W358">
        <f t="shared" si="43"/>
        <v>12</v>
      </c>
      <c r="X358">
        <f t="shared" si="44"/>
        <v>26</v>
      </c>
      <c r="Y358" t="str">
        <f>+VLOOKUP(A358,'[1]Tárgy kurzusai'!$A:$C,3,0)</f>
        <v>SZE:15:30-17:00(E.3.309)</v>
      </c>
      <c r="Z358">
        <f>+VLOOKUP(A358,'[1]Tárgy kurzusai'!$A:$F,6,0)</f>
        <v>5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</row>
    <row r="359" spans="1:55" x14ac:dyDescent="0.2">
      <c r="A359" t="s">
        <v>17</v>
      </c>
      <c r="B359" t="s">
        <v>8</v>
      </c>
      <c r="C359" s="3">
        <v>12</v>
      </c>
      <c r="D359" s="3">
        <v>9</v>
      </c>
      <c r="E359" s="3">
        <v>11</v>
      </c>
      <c r="F359" s="3">
        <v>16</v>
      </c>
      <c r="G359" s="3">
        <v>32.5</v>
      </c>
      <c r="H359">
        <v>0.75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0.75</v>
      </c>
      <c r="R359">
        <v>1</v>
      </c>
      <c r="S359">
        <v>1</v>
      </c>
      <c r="T359">
        <f t="shared" si="40"/>
        <v>12</v>
      </c>
      <c r="U359">
        <f t="shared" si="41"/>
        <v>9</v>
      </c>
      <c r="V359">
        <f t="shared" si="42"/>
        <v>11</v>
      </c>
      <c r="W359">
        <f t="shared" si="43"/>
        <v>16</v>
      </c>
      <c r="X359">
        <f t="shared" si="44"/>
        <v>32.5</v>
      </c>
      <c r="Y359" t="str">
        <f>+VLOOKUP(A359,'[1]Tárgy kurzusai'!$A:$C,3,0)</f>
        <v>SZE:15:30-17:00(E.3.309)</v>
      </c>
      <c r="Z359">
        <f>+VLOOKUP(A359,'[1]Tárgy kurzusai'!$A:$F,6,0)</f>
        <v>5</v>
      </c>
      <c r="AA359" t="s">
        <v>49</v>
      </c>
      <c r="AB359" t="s">
        <v>50</v>
      </c>
      <c r="AC359" t="s">
        <v>51</v>
      </c>
      <c r="AD359" t="s">
        <v>68</v>
      </c>
      <c r="AE359" t="s">
        <v>69</v>
      </c>
      <c r="AF359" t="s">
        <v>69</v>
      </c>
      <c r="AG359" t="s">
        <v>55</v>
      </c>
      <c r="AH359" t="s">
        <v>55</v>
      </c>
      <c r="AI359" t="s">
        <v>55</v>
      </c>
      <c r="AJ359" t="s">
        <v>57</v>
      </c>
      <c r="AK359" t="s">
        <v>79</v>
      </c>
      <c r="AL359" t="s">
        <v>59</v>
      </c>
      <c r="AM359" t="s">
        <v>60</v>
      </c>
      <c r="AN359">
        <v>7</v>
      </c>
      <c r="AO359">
        <v>33</v>
      </c>
      <c r="AP359">
        <v>5</v>
      </c>
      <c r="AQ359">
        <v>3</v>
      </c>
      <c r="AR359" t="s">
        <v>55</v>
      </c>
      <c r="AS359" t="s">
        <v>61</v>
      </c>
      <c r="AT359" t="s">
        <v>56</v>
      </c>
      <c r="AU359" t="s">
        <v>62</v>
      </c>
      <c r="AV359" t="s">
        <v>63</v>
      </c>
      <c r="AW359" t="s">
        <v>60</v>
      </c>
      <c r="AX359" t="s">
        <v>60</v>
      </c>
      <c r="AY359">
        <v>5</v>
      </c>
      <c r="AZ359" t="s">
        <v>64</v>
      </c>
      <c r="BA359">
        <v>6</v>
      </c>
      <c r="BB359">
        <v>8</v>
      </c>
      <c r="BC359" t="s">
        <v>70</v>
      </c>
    </row>
    <row r="360" spans="1:55" x14ac:dyDescent="0.2">
      <c r="A360" t="s">
        <v>17</v>
      </c>
      <c r="B360" t="s">
        <v>8</v>
      </c>
      <c r="C360" s="3">
        <v>14.5</v>
      </c>
      <c r="D360" s="3">
        <v>8.5</v>
      </c>
      <c r="E360" s="3">
        <v>8.5</v>
      </c>
      <c r="F360" s="3">
        <v>15.5</v>
      </c>
      <c r="G360" s="3">
        <v>26.5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1</v>
      </c>
      <c r="O360">
        <v>0</v>
      </c>
      <c r="P360">
        <v>1</v>
      </c>
      <c r="Q360">
        <v>0.75</v>
      </c>
      <c r="R360">
        <v>1</v>
      </c>
      <c r="S360">
        <v>1</v>
      </c>
      <c r="T360">
        <f t="shared" si="40"/>
        <v>14.5</v>
      </c>
      <c r="U360">
        <f t="shared" si="41"/>
        <v>8.5</v>
      </c>
      <c r="V360">
        <f t="shared" si="42"/>
        <v>8.5</v>
      </c>
      <c r="W360">
        <f t="shared" si="43"/>
        <v>15.5</v>
      </c>
      <c r="X360">
        <f t="shared" si="44"/>
        <v>26.5</v>
      </c>
      <c r="Y360" t="str">
        <f>+VLOOKUP(A360,'[1]Tárgy kurzusai'!$A:$C,3,0)</f>
        <v>SZE:15:30-17:00(E.3.309)</v>
      </c>
      <c r="Z360">
        <f>+VLOOKUP(A360,'[1]Tárgy kurzusai'!$A:$F,6,0)</f>
        <v>5</v>
      </c>
      <c r="AA360" t="s">
        <v>49</v>
      </c>
      <c r="AB360" t="s">
        <v>71</v>
      </c>
      <c r="AC360" t="s">
        <v>72</v>
      </c>
      <c r="AD360" t="s">
        <v>52</v>
      </c>
      <c r="AE360" t="s">
        <v>69</v>
      </c>
      <c r="AF360" t="s">
        <v>69</v>
      </c>
      <c r="AG360" t="s">
        <v>56</v>
      </c>
      <c r="AH360" t="s">
        <v>55</v>
      </c>
      <c r="AI360" t="s">
        <v>55</v>
      </c>
      <c r="AJ360" t="s">
        <v>57</v>
      </c>
      <c r="AK360" t="s">
        <v>58</v>
      </c>
      <c r="AL360" t="s">
        <v>59</v>
      </c>
      <c r="AM360" t="s">
        <v>60</v>
      </c>
      <c r="AN360">
        <v>7</v>
      </c>
      <c r="AO360">
        <v>40</v>
      </c>
      <c r="AP360">
        <v>5</v>
      </c>
      <c r="AQ360">
        <v>16</v>
      </c>
      <c r="AR360" t="s">
        <v>55</v>
      </c>
      <c r="AS360" t="s">
        <v>55</v>
      </c>
      <c r="AT360" t="s">
        <v>56</v>
      </c>
      <c r="AU360" t="s">
        <v>62</v>
      </c>
      <c r="AV360" t="s">
        <v>63</v>
      </c>
      <c r="AW360" t="s">
        <v>60</v>
      </c>
      <c r="AX360" t="s">
        <v>60</v>
      </c>
      <c r="AY360">
        <v>3</v>
      </c>
      <c r="AZ360" t="s">
        <v>64</v>
      </c>
      <c r="BA360">
        <v>9</v>
      </c>
      <c r="BB360">
        <v>9</v>
      </c>
      <c r="BC360" t="s">
        <v>82</v>
      </c>
    </row>
    <row r="361" spans="1:55" x14ac:dyDescent="0.2">
      <c r="A361" t="s">
        <v>17</v>
      </c>
      <c r="B361" t="s">
        <v>8</v>
      </c>
      <c r="C361" s="3">
        <v>14.5</v>
      </c>
      <c r="D361" s="3">
        <v>12.5</v>
      </c>
      <c r="E361" s="3">
        <v>12.5</v>
      </c>
      <c r="F361" s="3">
        <v>3</v>
      </c>
      <c r="G361" s="3">
        <v>26.5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0.75</v>
      </c>
      <c r="O361">
        <v>1</v>
      </c>
      <c r="P361">
        <v>1</v>
      </c>
      <c r="Q361">
        <v>0.75</v>
      </c>
      <c r="R361">
        <v>1</v>
      </c>
      <c r="S361">
        <v>1</v>
      </c>
      <c r="T361">
        <f t="shared" si="40"/>
        <v>14.5</v>
      </c>
      <c r="U361">
        <f t="shared" si="41"/>
        <v>12.5</v>
      </c>
      <c r="V361">
        <f t="shared" si="42"/>
        <v>12.5</v>
      </c>
      <c r="W361">
        <f t="shared" si="43"/>
        <v>3</v>
      </c>
      <c r="X361">
        <f t="shared" si="44"/>
        <v>26.5</v>
      </c>
      <c r="Y361" t="str">
        <f>+VLOOKUP(A361,'[1]Tárgy kurzusai'!$A:$C,3,0)</f>
        <v>SZE:15:30-17:00(E.3.309)</v>
      </c>
      <c r="Z361">
        <f>+VLOOKUP(A361,'[1]Tárgy kurzusai'!$A:$F,6,0)</f>
        <v>5</v>
      </c>
      <c r="AA361" t="s">
        <v>66</v>
      </c>
      <c r="AB361" t="s">
        <v>71</v>
      </c>
      <c r="AC361" t="s">
        <v>72</v>
      </c>
      <c r="AD361" t="s">
        <v>52</v>
      </c>
      <c r="AE361" t="s">
        <v>69</v>
      </c>
      <c r="AF361" t="s">
        <v>69</v>
      </c>
      <c r="AG361" t="s">
        <v>55</v>
      </c>
      <c r="AH361" t="s">
        <v>55</v>
      </c>
      <c r="AI361" t="s">
        <v>55</v>
      </c>
      <c r="AJ361" t="s">
        <v>57</v>
      </c>
      <c r="AK361" t="s">
        <v>58</v>
      </c>
      <c r="AL361" t="s">
        <v>59</v>
      </c>
      <c r="AM361" t="s">
        <v>60</v>
      </c>
      <c r="AN361">
        <v>6</v>
      </c>
      <c r="AO361">
        <v>33</v>
      </c>
      <c r="AP361">
        <v>5</v>
      </c>
      <c r="AQ361">
        <v>14</v>
      </c>
      <c r="AR361" t="s">
        <v>55</v>
      </c>
      <c r="AS361" t="s">
        <v>61</v>
      </c>
      <c r="AT361" t="s">
        <v>56</v>
      </c>
      <c r="AU361" t="s">
        <v>62</v>
      </c>
      <c r="AV361" t="s">
        <v>63</v>
      </c>
      <c r="AW361" t="s">
        <v>60</v>
      </c>
      <c r="AX361" t="s">
        <v>60</v>
      </c>
      <c r="AY361">
        <v>3</v>
      </c>
      <c r="AZ361" t="s">
        <v>64</v>
      </c>
      <c r="BA361">
        <v>6</v>
      </c>
      <c r="BB361">
        <v>8</v>
      </c>
      <c r="BC361" t="s">
        <v>70</v>
      </c>
    </row>
    <row r="362" spans="1:55" x14ac:dyDescent="0.2">
      <c r="A362" t="s">
        <v>17</v>
      </c>
      <c r="B362" t="s">
        <v>8</v>
      </c>
      <c r="C362" s="3">
        <v>14</v>
      </c>
      <c r="D362" s="3">
        <v>7.5</v>
      </c>
      <c r="E362" s="3">
        <v>8</v>
      </c>
      <c r="F362" s="3">
        <v>11</v>
      </c>
      <c r="G362" s="3">
        <v>26.5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0.5</v>
      </c>
      <c r="R362">
        <v>1</v>
      </c>
      <c r="S362">
        <v>1</v>
      </c>
      <c r="T362">
        <f t="shared" si="40"/>
        <v>14</v>
      </c>
      <c r="U362">
        <f t="shared" si="41"/>
        <v>7.5</v>
      </c>
      <c r="V362">
        <f t="shared" si="42"/>
        <v>8</v>
      </c>
      <c r="W362">
        <f t="shared" si="43"/>
        <v>11</v>
      </c>
      <c r="X362">
        <f t="shared" si="44"/>
        <v>26.5</v>
      </c>
      <c r="Y362" t="str">
        <f>+VLOOKUP(A362,'[1]Tárgy kurzusai'!$A:$C,3,0)</f>
        <v>SZE:15:30-17:00(E.3.309)</v>
      </c>
      <c r="Z362">
        <f>+VLOOKUP(A362,'[1]Tárgy kurzusai'!$A:$F,6,0)</f>
        <v>5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</row>
    <row r="363" spans="1:55" x14ac:dyDescent="0.2">
      <c r="A363" t="s">
        <v>17</v>
      </c>
      <c r="B363" t="s">
        <v>8</v>
      </c>
      <c r="C363" s="3">
        <v>8</v>
      </c>
      <c r="D363" s="3">
        <v>2</v>
      </c>
      <c r="E363" s="3">
        <v>6</v>
      </c>
      <c r="F363" s="3">
        <v>13.5</v>
      </c>
      <c r="G363" s="3">
        <v>19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0.5</v>
      </c>
      <c r="R363">
        <v>1</v>
      </c>
      <c r="S363">
        <v>1</v>
      </c>
      <c r="T363">
        <f t="shared" si="40"/>
        <v>8</v>
      </c>
      <c r="U363">
        <f t="shared" si="41"/>
        <v>2</v>
      </c>
      <c r="V363">
        <f t="shared" si="42"/>
        <v>6</v>
      </c>
      <c r="W363">
        <f t="shared" si="43"/>
        <v>13.5</v>
      </c>
      <c r="X363">
        <f t="shared" si="44"/>
        <v>19</v>
      </c>
      <c r="Y363" t="str">
        <f>+VLOOKUP(A363,'[1]Tárgy kurzusai'!$A:$C,3,0)</f>
        <v>SZE:15:30-17:00(E.3.309)</v>
      </c>
      <c r="Z363">
        <f>+VLOOKUP(A363,'[1]Tárgy kurzusai'!$A:$F,6,0)</f>
        <v>5</v>
      </c>
      <c r="AA363" t="s">
        <v>49</v>
      </c>
      <c r="AB363" t="s">
        <v>80</v>
      </c>
      <c r="AC363" t="s">
        <v>51</v>
      </c>
      <c r="AD363" t="s">
        <v>89</v>
      </c>
      <c r="AE363" t="s">
        <v>69</v>
      </c>
      <c r="AF363" t="s">
        <v>69</v>
      </c>
      <c r="AG363" t="s">
        <v>56</v>
      </c>
      <c r="AH363" t="s">
        <v>55</v>
      </c>
      <c r="AI363" t="s">
        <v>55</v>
      </c>
      <c r="AJ363" t="s">
        <v>57</v>
      </c>
      <c r="AK363" t="s">
        <v>79</v>
      </c>
      <c r="AL363" t="s">
        <v>59</v>
      </c>
      <c r="AM363" t="s">
        <v>60</v>
      </c>
      <c r="AN363">
        <v>8</v>
      </c>
      <c r="AO363">
        <v>34</v>
      </c>
      <c r="AP363">
        <v>5</v>
      </c>
      <c r="AQ363">
        <v>7</v>
      </c>
      <c r="AR363" t="s">
        <v>55</v>
      </c>
      <c r="AS363" t="s">
        <v>61</v>
      </c>
      <c r="AT363" t="s">
        <v>56</v>
      </c>
      <c r="AU363" t="s">
        <v>62</v>
      </c>
      <c r="AV363" t="s">
        <v>63</v>
      </c>
      <c r="AW363" t="s">
        <v>60</v>
      </c>
      <c r="AX363" t="s">
        <v>60</v>
      </c>
      <c r="AY363">
        <v>4</v>
      </c>
      <c r="AZ363" t="s">
        <v>64</v>
      </c>
      <c r="BA363">
        <v>8</v>
      </c>
      <c r="BB363">
        <v>2</v>
      </c>
      <c r="BC363" t="s">
        <v>70</v>
      </c>
    </row>
    <row r="364" spans="1:55" x14ac:dyDescent="0.2">
      <c r="A364" t="s">
        <v>17</v>
      </c>
      <c r="B364" t="s">
        <v>8</v>
      </c>
      <c r="C364" s="3">
        <v>7.5</v>
      </c>
      <c r="D364" s="3">
        <v>12.5</v>
      </c>
      <c r="E364" s="3">
        <v>9</v>
      </c>
      <c r="F364" s="3">
        <v>14</v>
      </c>
      <c r="G364" s="3">
        <v>26</v>
      </c>
      <c r="H364">
        <v>1</v>
      </c>
      <c r="I364">
        <v>0.75</v>
      </c>
      <c r="J364">
        <v>1</v>
      </c>
      <c r="K364">
        <v>1</v>
      </c>
      <c r="L364">
        <v>0.5</v>
      </c>
      <c r="M364">
        <v>1</v>
      </c>
      <c r="N364">
        <v>1</v>
      </c>
      <c r="O364">
        <v>1</v>
      </c>
      <c r="P364">
        <v>1</v>
      </c>
      <c r="Q364">
        <v>0.75</v>
      </c>
      <c r="R364">
        <v>1</v>
      </c>
      <c r="S364">
        <v>1</v>
      </c>
      <c r="T364">
        <f t="shared" si="40"/>
        <v>7.5</v>
      </c>
      <c r="U364">
        <f t="shared" si="41"/>
        <v>12.5</v>
      </c>
      <c r="V364">
        <f t="shared" si="42"/>
        <v>9</v>
      </c>
      <c r="W364">
        <f t="shared" si="43"/>
        <v>14</v>
      </c>
      <c r="X364">
        <f t="shared" si="44"/>
        <v>26</v>
      </c>
      <c r="Y364" t="str">
        <f>+VLOOKUP(A364,'[1]Tárgy kurzusai'!$A:$C,3,0)</f>
        <v>SZE:15:30-17:00(E.3.309)</v>
      </c>
      <c r="Z364">
        <f>+VLOOKUP(A364,'[1]Tárgy kurzusai'!$A:$F,6,0)</f>
        <v>5</v>
      </c>
      <c r="AA364" t="s">
        <v>49</v>
      </c>
      <c r="AB364" t="s">
        <v>71</v>
      </c>
      <c r="AC364" t="s">
        <v>72</v>
      </c>
      <c r="AD364" t="s">
        <v>73</v>
      </c>
      <c r="AE364" t="s">
        <v>69</v>
      </c>
      <c r="AF364" t="s">
        <v>69</v>
      </c>
      <c r="AG364" t="s">
        <v>56</v>
      </c>
      <c r="AH364" t="s">
        <v>55</v>
      </c>
      <c r="AI364" t="s">
        <v>55</v>
      </c>
      <c r="AJ364" t="s">
        <v>57</v>
      </c>
      <c r="AK364" t="s">
        <v>79</v>
      </c>
      <c r="AL364" t="s">
        <v>59</v>
      </c>
      <c r="AM364" t="s">
        <v>60</v>
      </c>
      <c r="AN364">
        <v>8</v>
      </c>
      <c r="AO364">
        <v>34</v>
      </c>
      <c r="AP364">
        <v>4</v>
      </c>
      <c r="AQ364">
        <v>4</v>
      </c>
      <c r="AR364" t="s">
        <v>55</v>
      </c>
      <c r="AS364" t="s">
        <v>61</v>
      </c>
      <c r="AT364" t="s">
        <v>56</v>
      </c>
      <c r="AU364" t="s">
        <v>62</v>
      </c>
      <c r="AV364" t="s">
        <v>63</v>
      </c>
      <c r="AW364" t="s">
        <v>60</v>
      </c>
      <c r="AX364" t="s">
        <v>60</v>
      </c>
      <c r="AY364">
        <v>4</v>
      </c>
      <c r="AZ364" t="s">
        <v>64</v>
      </c>
      <c r="BA364">
        <v>7</v>
      </c>
      <c r="BB364">
        <v>6</v>
      </c>
      <c r="BC364" t="s">
        <v>65</v>
      </c>
    </row>
    <row r="365" spans="1:55" x14ac:dyDescent="0.2">
      <c r="A365" t="s">
        <v>17</v>
      </c>
      <c r="B365" t="s">
        <v>8</v>
      </c>
      <c r="C365" s="3">
        <v>10</v>
      </c>
      <c r="D365" s="3">
        <v>10.5</v>
      </c>
      <c r="E365" s="3">
        <v>6</v>
      </c>
      <c r="F365" s="3">
        <v>7</v>
      </c>
      <c r="G365" s="3">
        <v>0</v>
      </c>
      <c r="H365">
        <v>1</v>
      </c>
      <c r="I365">
        <v>0.75</v>
      </c>
      <c r="J365">
        <v>1</v>
      </c>
      <c r="K365">
        <v>1</v>
      </c>
      <c r="L365">
        <v>1</v>
      </c>
      <c r="M365">
        <v>0.25</v>
      </c>
      <c r="N365">
        <v>0.75</v>
      </c>
      <c r="O365">
        <v>0</v>
      </c>
      <c r="P365">
        <v>1</v>
      </c>
      <c r="Q365">
        <v>0.5</v>
      </c>
      <c r="R365">
        <v>1</v>
      </c>
      <c r="S365">
        <v>1</v>
      </c>
      <c r="T365">
        <f t="shared" si="40"/>
        <v>10</v>
      </c>
      <c r="U365">
        <f t="shared" si="41"/>
        <v>10.5</v>
      </c>
      <c r="V365">
        <f t="shared" si="42"/>
        <v>6</v>
      </c>
      <c r="W365">
        <f t="shared" si="43"/>
        <v>7</v>
      </c>
      <c r="X365">
        <f t="shared" si="44"/>
        <v>0</v>
      </c>
      <c r="Y365" t="str">
        <f>+VLOOKUP(A365,'[1]Tárgy kurzusai'!$A:$C,3,0)</f>
        <v>SZE:15:30-17:00(E.3.309)</v>
      </c>
      <c r="Z365">
        <f>+VLOOKUP(A365,'[1]Tárgy kurzusai'!$A:$F,6,0)</f>
        <v>5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</row>
    <row r="366" spans="1:55" x14ac:dyDescent="0.2">
      <c r="A366" t="s">
        <v>17</v>
      </c>
      <c r="B366" t="s">
        <v>8</v>
      </c>
      <c r="C366" s="3">
        <v>12.5</v>
      </c>
      <c r="D366" s="3">
        <v>7.5</v>
      </c>
      <c r="E366" s="3">
        <v>15</v>
      </c>
      <c r="F366" s="3">
        <v>10.5</v>
      </c>
      <c r="G366" s="3">
        <v>31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0.67</v>
      </c>
      <c r="P366">
        <v>1</v>
      </c>
      <c r="Q366">
        <v>0.75</v>
      </c>
      <c r="R366">
        <v>1</v>
      </c>
      <c r="S366">
        <v>1</v>
      </c>
      <c r="T366">
        <f t="shared" si="40"/>
        <v>12.5</v>
      </c>
      <c r="U366">
        <f t="shared" si="41"/>
        <v>7.5</v>
      </c>
      <c r="V366">
        <f t="shared" si="42"/>
        <v>15</v>
      </c>
      <c r="W366">
        <f t="shared" si="43"/>
        <v>10.5</v>
      </c>
      <c r="X366">
        <f t="shared" si="44"/>
        <v>31</v>
      </c>
      <c r="Y366" t="str">
        <f>+VLOOKUP(A366,'[1]Tárgy kurzusai'!$A:$C,3,0)</f>
        <v>SZE:15:30-17:00(E.3.309)</v>
      </c>
      <c r="Z366">
        <f>+VLOOKUP(A366,'[1]Tárgy kurzusai'!$A:$F,6,0)</f>
        <v>5</v>
      </c>
      <c r="AA366" t="s">
        <v>49</v>
      </c>
      <c r="AB366" t="s">
        <v>71</v>
      </c>
      <c r="AC366" t="s">
        <v>75</v>
      </c>
      <c r="AD366" t="s">
        <v>100</v>
      </c>
      <c r="AE366" t="s">
        <v>53</v>
      </c>
      <c r="AF366" t="s">
        <v>53</v>
      </c>
      <c r="AG366" t="s">
        <v>56</v>
      </c>
      <c r="AH366" t="s">
        <v>56</v>
      </c>
      <c r="AI366" t="s">
        <v>55</v>
      </c>
      <c r="AJ366" t="s">
        <v>57</v>
      </c>
      <c r="AK366" t="s">
        <v>58</v>
      </c>
      <c r="AL366" t="s">
        <v>59</v>
      </c>
      <c r="AM366" t="s">
        <v>60</v>
      </c>
      <c r="AN366">
        <v>8</v>
      </c>
      <c r="AO366">
        <v>36</v>
      </c>
      <c r="AP366">
        <v>6</v>
      </c>
      <c r="AQ366">
        <v>14</v>
      </c>
      <c r="AR366" t="s">
        <v>55</v>
      </c>
      <c r="AS366" t="s">
        <v>61</v>
      </c>
      <c r="AT366" t="s">
        <v>56</v>
      </c>
      <c r="AU366" t="s">
        <v>62</v>
      </c>
      <c r="AV366" t="s">
        <v>63</v>
      </c>
      <c r="AW366" t="s">
        <v>60</v>
      </c>
      <c r="AX366" t="s">
        <v>60</v>
      </c>
      <c r="AY366">
        <v>5</v>
      </c>
      <c r="AZ366" t="s">
        <v>64</v>
      </c>
      <c r="BA366">
        <v>7</v>
      </c>
      <c r="BB366">
        <v>9</v>
      </c>
      <c r="BC366" t="s">
        <v>70</v>
      </c>
    </row>
    <row r="367" spans="1:55" x14ac:dyDescent="0.2">
      <c r="A367" t="s">
        <v>17</v>
      </c>
      <c r="B367" t="s">
        <v>8</v>
      </c>
      <c r="C367" s="3">
        <v>13</v>
      </c>
      <c r="D367" s="3">
        <v>11</v>
      </c>
      <c r="E367" s="3">
        <v>11</v>
      </c>
      <c r="F367" s="3">
        <v>8</v>
      </c>
      <c r="G367" s="3">
        <v>25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0.33</v>
      </c>
      <c r="P367">
        <v>1</v>
      </c>
      <c r="Q367">
        <v>0.75</v>
      </c>
      <c r="R367">
        <v>1</v>
      </c>
      <c r="S367">
        <v>1</v>
      </c>
      <c r="T367">
        <f t="shared" si="40"/>
        <v>13</v>
      </c>
      <c r="U367">
        <f t="shared" si="41"/>
        <v>11</v>
      </c>
      <c r="V367">
        <f t="shared" si="42"/>
        <v>11</v>
      </c>
      <c r="W367">
        <f t="shared" si="43"/>
        <v>8</v>
      </c>
      <c r="X367">
        <f t="shared" si="44"/>
        <v>25</v>
      </c>
      <c r="Y367" t="str">
        <f>+VLOOKUP(A367,'[1]Tárgy kurzusai'!$A:$C,3,0)</f>
        <v>SZE:15:30-17:00(E.3.309)</v>
      </c>
      <c r="Z367">
        <f>+VLOOKUP(A367,'[1]Tárgy kurzusai'!$A:$F,6,0)</f>
        <v>5</v>
      </c>
      <c r="AA367" t="s">
        <v>66</v>
      </c>
      <c r="AB367" t="s">
        <v>71</v>
      </c>
      <c r="AC367" t="s">
        <v>72</v>
      </c>
      <c r="AD367" t="s">
        <v>52</v>
      </c>
      <c r="AE367" t="s">
        <v>69</v>
      </c>
      <c r="AF367" t="s">
        <v>69</v>
      </c>
      <c r="AG367" t="s">
        <v>55</v>
      </c>
      <c r="AH367" t="s">
        <v>55</v>
      </c>
      <c r="AI367" t="s">
        <v>55</v>
      </c>
      <c r="AJ367" t="s">
        <v>57</v>
      </c>
      <c r="AK367" t="s">
        <v>58</v>
      </c>
      <c r="AL367" t="s">
        <v>59</v>
      </c>
      <c r="AM367" t="s">
        <v>60</v>
      </c>
      <c r="AN367">
        <v>6</v>
      </c>
      <c r="AO367">
        <v>30</v>
      </c>
      <c r="AP367">
        <v>5</v>
      </c>
      <c r="AQ367">
        <v>14</v>
      </c>
      <c r="AR367" t="s">
        <v>55</v>
      </c>
      <c r="AS367" t="s">
        <v>61</v>
      </c>
      <c r="AT367" t="s">
        <v>56</v>
      </c>
      <c r="AU367" t="s">
        <v>62</v>
      </c>
      <c r="AV367" t="s">
        <v>63</v>
      </c>
      <c r="AW367" t="s">
        <v>60</v>
      </c>
      <c r="AX367" t="s">
        <v>60</v>
      </c>
      <c r="AY367">
        <v>2</v>
      </c>
      <c r="AZ367" t="s">
        <v>64</v>
      </c>
      <c r="BA367">
        <v>8</v>
      </c>
      <c r="BB367">
        <v>4</v>
      </c>
      <c r="BC367" t="s">
        <v>65</v>
      </c>
    </row>
    <row r="368" spans="1:55" x14ac:dyDescent="0.2">
      <c r="A368" t="s">
        <v>17</v>
      </c>
      <c r="B368" t="s">
        <v>8</v>
      </c>
      <c r="C368" s="3">
        <v>3</v>
      </c>
      <c r="D368" s="3">
        <v>0</v>
      </c>
      <c r="E368" s="3">
        <v>12</v>
      </c>
      <c r="F368" s="3">
        <v>11</v>
      </c>
      <c r="G368" s="3">
        <v>15.5</v>
      </c>
      <c r="H368">
        <v>0.75</v>
      </c>
      <c r="I368">
        <v>1</v>
      </c>
      <c r="J368">
        <v>0</v>
      </c>
      <c r="K368">
        <v>0</v>
      </c>
      <c r="L368">
        <v>0.5</v>
      </c>
      <c r="M368">
        <v>0.75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f t="shared" si="40"/>
        <v>3</v>
      </c>
      <c r="U368">
        <f t="shared" si="41"/>
        <v>0</v>
      </c>
      <c r="V368">
        <f t="shared" si="42"/>
        <v>12</v>
      </c>
      <c r="W368">
        <f t="shared" si="43"/>
        <v>11</v>
      </c>
      <c r="X368">
        <f t="shared" si="44"/>
        <v>15.5</v>
      </c>
      <c r="Y368" t="str">
        <f>+VLOOKUP(A368,'[1]Tárgy kurzusai'!$A:$C,3,0)</f>
        <v>SZE:15:30-17:00(E.3.309)</v>
      </c>
      <c r="Z368">
        <f>+VLOOKUP(A368,'[1]Tárgy kurzusai'!$A:$F,6,0)</f>
        <v>5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</row>
    <row r="369" spans="1:55" x14ac:dyDescent="0.2">
      <c r="A369" t="s">
        <v>17</v>
      </c>
      <c r="B369" t="s">
        <v>8</v>
      </c>
      <c r="C369" s="3">
        <v>9</v>
      </c>
      <c r="D369" s="3">
        <v>8.5</v>
      </c>
      <c r="E369" s="3">
        <v>9</v>
      </c>
      <c r="F369" s="3">
        <v>0</v>
      </c>
      <c r="G369" s="3">
        <v>21.5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0.75</v>
      </c>
      <c r="O369">
        <v>1</v>
      </c>
      <c r="P369">
        <v>0.75</v>
      </c>
      <c r="Q369">
        <v>0.25</v>
      </c>
      <c r="R369">
        <v>1</v>
      </c>
      <c r="S369">
        <v>1</v>
      </c>
      <c r="T369">
        <f t="shared" si="40"/>
        <v>9</v>
      </c>
      <c r="U369">
        <f t="shared" si="41"/>
        <v>8.5</v>
      </c>
      <c r="V369">
        <f t="shared" si="42"/>
        <v>9</v>
      </c>
      <c r="W369">
        <f t="shared" si="43"/>
        <v>0</v>
      </c>
      <c r="X369">
        <f t="shared" si="44"/>
        <v>21.5</v>
      </c>
      <c r="Y369" t="str">
        <f>+VLOOKUP(A369,'[1]Tárgy kurzusai'!$A:$C,3,0)</f>
        <v>SZE:15:30-17:00(E.3.309)</v>
      </c>
      <c r="Z369">
        <f>+VLOOKUP(A369,'[1]Tárgy kurzusai'!$A:$F,6,0)</f>
        <v>5</v>
      </c>
      <c r="AA369" t="s">
        <v>49</v>
      </c>
      <c r="AB369" t="s">
        <v>71</v>
      </c>
      <c r="AC369" t="s">
        <v>51</v>
      </c>
      <c r="AD369" t="s">
        <v>68</v>
      </c>
      <c r="AE369" t="s">
        <v>69</v>
      </c>
      <c r="AF369" t="s">
        <v>53</v>
      </c>
      <c r="AG369" t="s">
        <v>55</v>
      </c>
      <c r="AH369" t="s">
        <v>55</v>
      </c>
      <c r="AI369" t="s">
        <v>55</v>
      </c>
      <c r="AJ369" t="s">
        <v>57</v>
      </c>
      <c r="AK369" t="s">
        <v>58</v>
      </c>
      <c r="AL369" t="s">
        <v>59</v>
      </c>
      <c r="AM369" t="s">
        <v>60</v>
      </c>
      <c r="AN369">
        <v>7</v>
      </c>
      <c r="AO369">
        <v>34</v>
      </c>
      <c r="AP369">
        <v>5</v>
      </c>
      <c r="AQ369">
        <v>5</v>
      </c>
      <c r="AR369" t="s">
        <v>55</v>
      </c>
      <c r="AS369" t="s">
        <v>61</v>
      </c>
      <c r="AT369" t="s">
        <v>55</v>
      </c>
      <c r="AU369" t="s">
        <v>62</v>
      </c>
      <c r="AV369" t="s">
        <v>63</v>
      </c>
      <c r="AW369" t="s">
        <v>60</v>
      </c>
      <c r="AX369" t="s">
        <v>60</v>
      </c>
      <c r="AY369">
        <v>3</v>
      </c>
      <c r="AZ369" t="s">
        <v>78</v>
      </c>
      <c r="BA369">
        <v>7</v>
      </c>
      <c r="BB369">
        <v>6</v>
      </c>
      <c r="BC369" t="s">
        <v>70</v>
      </c>
    </row>
    <row r="370" spans="1:55" x14ac:dyDescent="0.2">
      <c r="A370" t="s">
        <v>17</v>
      </c>
      <c r="B370" t="s">
        <v>8</v>
      </c>
      <c r="C370" s="3">
        <v>11.5</v>
      </c>
      <c r="D370" s="3">
        <v>6.5</v>
      </c>
      <c r="E370" s="3">
        <v>12.5</v>
      </c>
      <c r="F370" s="3">
        <v>9</v>
      </c>
      <c r="G370" s="3">
        <v>0</v>
      </c>
      <c r="H370">
        <v>0.75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f t="shared" si="40"/>
        <v>11.5</v>
      </c>
      <c r="U370">
        <f t="shared" si="41"/>
        <v>6.5</v>
      </c>
      <c r="V370">
        <f t="shared" si="42"/>
        <v>12.5</v>
      </c>
      <c r="W370">
        <f t="shared" si="43"/>
        <v>9</v>
      </c>
      <c r="X370">
        <f t="shared" si="44"/>
        <v>0</v>
      </c>
      <c r="Y370" t="str">
        <f>+VLOOKUP(A370,'[1]Tárgy kurzusai'!$A:$C,3,0)</f>
        <v>SZE:15:30-17:00(E.3.309)</v>
      </c>
      <c r="Z370">
        <f>+VLOOKUP(A370,'[1]Tárgy kurzusai'!$A:$F,6,0)</f>
        <v>5</v>
      </c>
      <c r="AA370" t="s">
        <v>49</v>
      </c>
      <c r="AB370" t="s">
        <v>71</v>
      </c>
      <c r="AC370" t="s">
        <v>72</v>
      </c>
      <c r="AD370" t="s">
        <v>94</v>
      </c>
      <c r="AE370" t="s">
        <v>69</v>
      </c>
      <c r="AF370" t="s">
        <v>53</v>
      </c>
      <c r="AG370" t="s">
        <v>56</v>
      </c>
      <c r="AH370" t="s">
        <v>56</v>
      </c>
      <c r="AI370" t="s">
        <v>56</v>
      </c>
      <c r="AJ370" t="s">
        <v>57</v>
      </c>
      <c r="AK370" t="s">
        <v>58</v>
      </c>
      <c r="AL370" t="s">
        <v>59</v>
      </c>
      <c r="AM370" t="s">
        <v>60</v>
      </c>
      <c r="AN370">
        <v>7</v>
      </c>
      <c r="AO370">
        <v>33</v>
      </c>
      <c r="AP370">
        <v>6</v>
      </c>
      <c r="AQ370">
        <v>3</v>
      </c>
      <c r="AR370" t="s">
        <v>55</v>
      </c>
      <c r="AS370" t="s">
        <v>61</v>
      </c>
      <c r="AT370" t="s">
        <v>56</v>
      </c>
      <c r="AU370" t="s">
        <v>62</v>
      </c>
      <c r="AV370" t="s">
        <v>63</v>
      </c>
      <c r="AW370" t="s">
        <v>60</v>
      </c>
      <c r="AX370" t="s">
        <v>60</v>
      </c>
      <c r="AY370">
        <v>3</v>
      </c>
      <c r="AZ370" t="s">
        <v>64</v>
      </c>
      <c r="BA370">
        <v>6</v>
      </c>
      <c r="BB370">
        <v>9</v>
      </c>
      <c r="BC370" t="s">
        <v>70</v>
      </c>
    </row>
    <row r="371" spans="1:55" x14ac:dyDescent="0.2">
      <c r="A371" t="s">
        <v>17</v>
      </c>
      <c r="B371" t="s">
        <v>8</v>
      </c>
      <c r="C371" s="3">
        <v>15</v>
      </c>
      <c r="D371" s="3">
        <v>6</v>
      </c>
      <c r="E371" s="3">
        <v>9.5</v>
      </c>
      <c r="F371" s="3">
        <v>9</v>
      </c>
      <c r="G371" s="3">
        <v>26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1</v>
      </c>
      <c r="T371">
        <f t="shared" si="40"/>
        <v>15</v>
      </c>
      <c r="U371">
        <f t="shared" si="41"/>
        <v>6</v>
      </c>
      <c r="V371">
        <f t="shared" si="42"/>
        <v>9.5</v>
      </c>
      <c r="W371">
        <f t="shared" si="43"/>
        <v>9</v>
      </c>
      <c r="X371">
        <f t="shared" si="44"/>
        <v>26</v>
      </c>
      <c r="Y371" t="str">
        <f>+VLOOKUP(A371,'[1]Tárgy kurzusai'!$A:$C,3,0)</f>
        <v>SZE:15:30-17:00(E.3.309)</v>
      </c>
      <c r="Z371">
        <f>+VLOOKUP(A371,'[1]Tárgy kurzusai'!$A:$F,6,0)</f>
        <v>5</v>
      </c>
      <c r="AA371" t="s">
        <v>66</v>
      </c>
      <c r="AB371" t="s">
        <v>71</v>
      </c>
      <c r="AC371" t="s">
        <v>51</v>
      </c>
      <c r="AD371" t="s">
        <v>68</v>
      </c>
      <c r="AE371" t="s">
        <v>69</v>
      </c>
      <c r="AF371" t="s">
        <v>69</v>
      </c>
      <c r="AG371" t="s">
        <v>55</v>
      </c>
      <c r="AH371" t="s">
        <v>56</v>
      </c>
      <c r="AI371" t="s">
        <v>55</v>
      </c>
      <c r="AJ371" t="s">
        <v>57</v>
      </c>
      <c r="AK371" t="s">
        <v>58</v>
      </c>
      <c r="AL371" t="s">
        <v>59</v>
      </c>
      <c r="AM371" t="s">
        <v>60</v>
      </c>
      <c r="AN371">
        <v>8</v>
      </c>
      <c r="AO371">
        <v>36</v>
      </c>
      <c r="AP371">
        <v>6</v>
      </c>
      <c r="AQ371">
        <v>15</v>
      </c>
      <c r="AR371" t="s">
        <v>55</v>
      </c>
      <c r="AS371" t="s">
        <v>55</v>
      </c>
      <c r="AT371" t="s">
        <v>56</v>
      </c>
      <c r="AU371" t="s">
        <v>60</v>
      </c>
      <c r="AV371" t="s">
        <v>60</v>
      </c>
      <c r="AW371" t="s">
        <v>60</v>
      </c>
      <c r="AX371" t="s">
        <v>60</v>
      </c>
      <c r="AY371">
        <v>4</v>
      </c>
      <c r="AZ371" t="s">
        <v>64</v>
      </c>
      <c r="BA371">
        <v>9</v>
      </c>
      <c r="BB371">
        <v>9</v>
      </c>
      <c r="BC371" t="s">
        <v>70</v>
      </c>
    </row>
    <row r="372" spans="1:55" x14ac:dyDescent="0.2">
      <c r="A372" t="s">
        <v>17</v>
      </c>
      <c r="B372" t="s">
        <v>8</v>
      </c>
      <c r="C372" s="3">
        <v>13</v>
      </c>
      <c r="D372" s="3">
        <v>8.5</v>
      </c>
      <c r="E372" s="3">
        <v>9.5</v>
      </c>
      <c r="F372" s="3">
        <v>13.5</v>
      </c>
      <c r="G372" s="3">
        <v>24.5</v>
      </c>
      <c r="H372">
        <v>1</v>
      </c>
      <c r="I372">
        <v>1</v>
      </c>
      <c r="J372">
        <v>1</v>
      </c>
      <c r="K372">
        <v>1</v>
      </c>
      <c r="L372">
        <v>0.5</v>
      </c>
      <c r="M372">
        <v>1</v>
      </c>
      <c r="N372">
        <v>1</v>
      </c>
      <c r="O372">
        <v>0.33</v>
      </c>
      <c r="P372">
        <v>1</v>
      </c>
      <c r="Q372">
        <v>0.75</v>
      </c>
      <c r="R372">
        <v>1</v>
      </c>
      <c r="S372">
        <v>1</v>
      </c>
      <c r="T372">
        <f t="shared" si="40"/>
        <v>13</v>
      </c>
      <c r="U372">
        <f t="shared" si="41"/>
        <v>8.5</v>
      </c>
      <c r="V372">
        <f t="shared" si="42"/>
        <v>9.5</v>
      </c>
      <c r="W372">
        <f t="shared" si="43"/>
        <v>13.5</v>
      </c>
      <c r="X372">
        <f t="shared" si="44"/>
        <v>24.5</v>
      </c>
      <c r="Y372" t="str">
        <f>+VLOOKUP(A372,'[1]Tárgy kurzusai'!$A:$C,3,0)</f>
        <v>SZE:15:30-17:00(E.3.309)</v>
      </c>
      <c r="Z372">
        <f>+VLOOKUP(A372,'[1]Tárgy kurzusai'!$A:$F,6,0)</f>
        <v>5</v>
      </c>
      <c r="AA372" t="s">
        <v>66</v>
      </c>
      <c r="AB372" t="s">
        <v>71</v>
      </c>
      <c r="AC372" t="s">
        <v>74</v>
      </c>
      <c r="AD372" t="s">
        <v>60</v>
      </c>
      <c r="AE372" t="s">
        <v>69</v>
      </c>
      <c r="AF372" t="s">
        <v>53</v>
      </c>
      <c r="AG372" t="s">
        <v>55</v>
      </c>
      <c r="AH372" t="s">
        <v>55</v>
      </c>
      <c r="AI372" t="s">
        <v>56</v>
      </c>
      <c r="AJ372" t="s">
        <v>57</v>
      </c>
      <c r="AK372" t="s">
        <v>58</v>
      </c>
      <c r="AL372" t="s">
        <v>59</v>
      </c>
      <c r="AM372" t="s">
        <v>60</v>
      </c>
      <c r="AN372">
        <v>8</v>
      </c>
      <c r="AO372">
        <v>36</v>
      </c>
      <c r="AP372">
        <v>5</v>
      </c>
      <c r="AQ372">
        <v>14</v>
      </c>
      <c r="AR372" t="s">
        <v>55</v>
      </c>
      <c r="AS372" t="s">
        <v>55</v>
      </c>
      <c r="AT372" t="s">
        <v>56</v>
      </c>
      <c r="AU372" t="s">
        <v>62</v>
      </c>
      <c r="AV372" t="s">
        <v>63</v>
      </c>
      <c r="AW372" t="s">
        <v>60</v>
      </c>
      <c r="AX372" t="s">
        <v>60</v>
      </c>
      <c r="AY372">
        <v>4</v>
      </c>
      <c r="AZ372" t="s">
        <v>64</v>
      </c>
      <c r="BA372">
        <v>3</v>
      </c>
      <c r="BB372">
        <v>10</v>
      </c>
      <c r="BC372" t="s">
        <v>65</v>
      </c>
    </row>
    <row r="373" spans="1:55" x14ac:dyDescent="0.2">
      <c r="A373" t="s">
        <v>18</v>
      </c>
      <c r="B373" t="s">
        <v>6</v>
      </c>
      <c r="C373" s="3">
        <v>0</v>
      </c>
      <c r="D373" s="3">
        <v>7.5</v>
      </c>
      <c r="E373" s="3">
        <v>4</v>
      </c>
      <c r="F373" s="3">
        <v>5</v>
      </c>
      <c r="G373" s="3" t="e">
        <v>#N/A</v>
      </c>
      <c r="H373">
        <v>1</v>
      </c>
      <c r="I373">
        <v>0.5</v>
      </c>
      <c r="J373">
        <v>0.75</v>
      </c>
      <c r="K373">
        <v>1</v>
      </c>
      <c r="L373">
        <v>0.5</v>
      </c>
      <c r="M373">
        <v>0.5</v>
      </c>
      <c r="N373">
        <v>0.75</v>
      </c>
      <c r="O373">
        <v>0.5</v>
      </c>
      <c r="P373">
        <v>1</v>
      </c>
      <c r="Q373">
        <v>1</v>
      </c>
      <c r="R373">
        <v>0</v>
      </c>
      <c r="S373">
        <v>1</v>
      </c>
      <c r="T373">
        <f t="shared" si="40"/>
        <v>0</v>
      </c>
      <c r="U373">
        <f t="shared" si="41"/>
        <v>7.5</v>
      </c>
      <c r="V373">
        <f t="shared" si="42"/>
        <v>4</v>
      </c>
      <c r="W373">
        <f t="shared" si="43"/>
        <v>5</v>
      </c>
      <c r="X373" t="e">
        <f t="shared" ref="X373:X403" si="45">40+G373</f>
        <v>#N/A</v>
      </c>
      <c r="Y373" t="str">
        <f>+VLOOKUP(A373,'[1]Tárgy kurzusai'!$A:$C,3,0)</f>
        <v>SZE:08:00-09:30(E.3.309)</v>
      </c>
      <c r="Z373">
        <f>+VLOOKUP(A373,'[1]Tárgy kurzusai'!$A:$F,6,0)</f>
        <v>5</v>
      </c>
      <c r="AA373" t="s">
        <v>49</v>
      </c>
      <c r="AB373" t="s">
        <v>71</v>
      </c>
      <c r="AC373" t="s">
        <v>72</v>
      </c>
      <c r="AD373" t="s">
        <v>92</v>
      </c>
      <c r="AE373" t="s">
        <v>69</v>
      </c>
      <c r="AF373" t="s">
        <v>53</v>
      </c>
      <c r="AG373" t="s">
        <v>55</v>
      </c>
      <c r="AH373" t="s">
        <v>55</v>
      </c>
      <c r="AI373" t="s">
        <v>55</v>
      </c>
      <c r="AJ373" t="s">
        <v>57</v>
      </c>
      <c r="AK373" t="s">
        <v>58</v>
      </c>
      <c r="AL373" t="s">
        <v>59</v>
      </c>
      <c r="AM373" t="s">
        <v>60</v>
      </c>
      <c r="AN373">
        <v>7</v>
      </c>
      <c r="AO373">
        <v>33</v>
      </c>
      <c r="AP373">
        <v>5</v>
      </c>
      <c r="AQ373">
        <v>12</v>
      </c>
      <c r="AR373" t="s">
        <v>55</v>
      </c>
      <c r="AS373" t="s">
        <v>61</v>
      </c>
      <c r="AT373" t="s">
        <v>56</v>
      </c>
      <c r="AU373" t="s">
        <v>62</v>
      </c>
      <c r="AV373" t="s">
        <v>63</v>
      </c>
      <c r="AW373" t="s">
        <v>60</v>
      </c>
      <c r="AX373" t="s">
        <v>60</v>
      </c>
      <c r="AY373">
        <v>4</v>
      </c>
      <c r="AZ373" t="s">
        <v>64</v>
      </c>
      <c r="BA373">
        <v>8</v>
      </c>
      <c r="BB373">
        <v>8</v>
      </c>
      <c r="BC373" t="s">
        <v>70</v>
      </c>
    </row>
    <row r="374" spans="1:55" x14ac:dyDescent="0.2">
      <c r="A374" t="s">
        <v>18</v>
      </c>
      <c r="B374" t="s">
        <v>6</v>
      </c>
      <c r="C374" s="3">
        <v>0</v>
      </c>
      <c r="D374" s="3">
        <v>1</v>
      </c>
      <c r="E374" s="3">
        <v>0</v>
      </c>
      <c r="F374" s="3">
        <v>0</v>
      </c>
      <c r="G374" s="3" t="e">
        <v>#N/A</v>
      </c>
      <c r="H374">
        <v>1</v>
      </c>
      <c r="I374">
        <v>0.5</v>
      </c>
      <c r="J374">
        <v>0.75</v>
      </c>
      <c r="K374">
        <v>0.5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f t="shared" si="40"/>
        <v>0</v>
      </c>
      <c r="U374">
        <f t="shared" si="41"/>
        <v>1</v>
      </c>
      <c r="V374">
        <f t="shared" si="42"/>
        <v>0</v>
      </c>
      <c r="W374">
        <f t="shared" si="43"/>
        <v>0</v>
      </c>
      <c r="X374" t="e">
        <f t="shared" si="45"/>
        <v>#N/A</v>
      </c>
      <c r="Y374" t="str">
        <f>+VLOOKUP(A374,'[1]Tárgy kurzusai'!$A:$C,3,0)</f>
        <v>SZE:08:00-09:30(E.3.309)</v>
      </c>
      <c r="Z374">
        <f>+VLOOKUP(A374,'[1]Tárgy kurzusai'!$A:$F,6,0)</f>
        <v>5</v>
      </c>
      <c r="AA374" t="s">
        <v>66</v>
      </c>
      <c r="AB374" t="s">
        <v>50</v>
      </c>
      <c r="AC374" t="s">
        <v>74</v>
      </c>
      <c r="AD374" t="s">
        <v>60</v>
      </c>
      <c r="AE374" t="s">
        <v>69</v>
      </c>
      <c r="AF374" t="s">
        <v>69</v>
      </c>
      <c r="AG374" t="s">
        <v>55</v>
      </c>
      <c r="AH374" t="s">
        <v>55</v>
      </c>
      <c r="AI374" t="s">
        <v>55</v>
      </c>
      <c r="AJ374" t="s">
        <v>57</v>
      </c>
      <c r="AK374" t="s">
        <v>79</v>
      </c>
      <c r="AL374" t="s">
        <v>59</v>
      </c>
      <c r="AM374" t="s">
        <v>60</v>
      </c>
      <c r="AN374">
        <v>6</v>
      </c>
      <c r="AO374">
        <v>33</v>
      </c>
      <c r="AP374">
        <v>5</v>
      </c>
      <c r="AQ374">
        <v>4</v>
      </c>
      <c r="AR374" t="s">
        <v>55</v>
      </c>
      <c r="AS374" t="s">
        <v>61</v>
      </c>
      <c r="AT374" t="s">
        <v>55</v>
      </c>
      <c r="AU374" t="s">
        <v>62</v>
      </c>
      <c r="AV374" t="s">
        <v>63</v>
      </c>
      <c r="AW374" t="s">
        <v>60</v>
      </c>
      <c r="AX374" t="s">
        <v>60</v>
      </c>
      <c r="AY374">
        <v>2</v>
      </c>
      <c r="AZ374" t="s">
        <v>64</v>
      </c>
      <c r="BA374">
        <v>5</v>
      </c>
      <c r="BB374">
        <v>2</v>
      </c>
      <c r="BC374" t="s">
        <v>76</v>
      </c>
    </row>
    <row r="375" spans="1:55" x14ac:dyDescent="0.2">
      <c r="A375" t="s">
        <v>18</v>
      </c>
      <c r="B375" t="s">
        <v>6</v>
      </c>
      <c r="C375" s="3">
        <v>14.5</v>
      </c>
      <c r="D375" s="3">
        <v>14.5</v>
      </c>
      <c r="E375" s="3">
        <v>13</v>
      </c>
      <c r="F375" s="3">
        <v>13.5</v>
      </c>
      <c r="G375" s="3">
        <v>-15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0.75</v>
      </c>
      <c r="R375">
        <v>1</v>
      </c>
      <c r="S375">
        <v>1</v>
      </c>
      <c r="T375">
        <f t="shared" ref="T375:T403" si="46">+C375</f>
        <v>14.5</v>
      </c>
      <c r="U375">
        <f t="shared" ref="U375:U403" si="47">+D375</f>
        <v>14.5</v>
      </c>
      <c r="V375">
        <f t="shared" ref="V375:V403" si="48">+E375</f>
        <v>13</v>
      </c>
      <c r="W375">
        <f t="shared" ref="W375:W403" si="49">+F375</f>
        <v>13.5</v>
      </c>
      <c r="X375">
        <f t="shared" si="45"/>
        <v>25</v>
      </c>
      <c r="Y375" t="str">
        <f>+VLOOKUP(A375,'[1]Tárgy kurzusai'!$A:$C,3,0)</f>
        <v>SZE:08:00-09:30(E.3.309)</v>
      </c>
      <c r="Z375">
        <f>+VLOOKUP(A375,'[1]Tárgy kurzusai'!$A:$F,6,0)</f>
        <v>5</v>
      </c>
      <c r="AA375" t="s">
        <v>49</v>
      </c>
      <c r="AB375" t="s">
        <v>71</v>
      </c>
      <c r="AC375" t="s">
        <v>51</v>
      </c>
      <c r="AD375" t="s">
        <v>94</v>
      </c>
      <c r="AE375" t="s">
        <v>69</v>
      </c>
      <c r="AF375" t="s">
        <v>69</v>
      </c>
      <c r="AG375" t="s">
        <v>55</v>
      </c>
      <c r="AH375" t="s">
        <v>55</v>
      </c>
      <c r="AI375" t="s">
        <v>55</v>
      </c>
      <c r="AJ375" t="s">
        <v>57</v>
      </c>
      <c r="AK375" t="s">
        <v>58</v>
      </c>
      <c r="AL375" t="s">
        <v>59</v>
      </c>
      <c r="AM375" t="s">
        <v>60</v>
      </c>
      <c r="AN375">
        <v>7</v>
      </c>
      <c r="AO375">
        <v>33</v>
      </c>
      <c r="AP375">
        <v>5</v>
      </c>
      <c r="AQ375">
        <v>13</v>
      </c>
      <c r="AR375" t="s">
        <v>55</v>
      </c>
      <c r="AS375" t="s">
        <v>55</v>
      </c>
      <c r="AT375" t="s">
        <v>56</v>
      </c>
      <c r="AU375" t="s">
        <v>62</v>
      </c>
      <c r="AV375" t="s">
        <v>63</v>
      </c>
      <c r="AW375" t="s">
        <v>60</v>
      </c>
      <c r="AX375" t="s">
        <v>60</v>
      </c>
      <c r="AY375">
        <v>4</v>
      </c>
      <c r="AZ375" t="s">
        <v>64</v>
      </c>
      <c r="BA375">
        <v>6</v>
      </c>
      <c r="BB375">
        <v>9</v>
      </c>
      <c r="BC375" t="s">
        <v>82</v>
      </c>
    </row>
    <row r="376" spans="1:55" x14ac:dyDescent="0.2">
      <c r="A376" t="s">
        <v>18</v>
      </c>
      <c r="B376" t="s">
        <v>6</v>
      </c>
      <c r="C376" s="3">
        <v>11</v>
      </c>
      <c r="D376" s="3">
        <v>4.5</v>
      </c>
      <c r="E376" s="3">
        <v>7</v>
      </c>
      <c r="F376" s="3">
        <v>6</v>
      </c>
      <c r="G376" s="3">
        <v>-21.5</v>
      </c>
      <c r="H376">
        <v>1</v>
      </c>
      <c r="I376">
        <v>1</v>
      </c>
      <c r="J376">
        <v>0.75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0.75</v>
      </c>
      <c r="R376">
        <v>1</v>
      </c>
      <c r="S376">
        <v>1</v>
      </c>
      <c r="T376">
        <f t="shared" si="46"/>
        <v>11</v>
      </c>
      <c r="U376">
        <f t="shared" si="47"/>
        <v>4.5</v>
      </c>
      <c r="V376">
        <f t="shared" si="48"/>
        <v>7</v>
      </c>
      <c r="W376">
        <f t="shared" si="49"/>
        <v>6</v>
      </c>
      <c r="X376">
        <f t="shared" si="45"/>
        <v>18.5</v>
      </c>
      <c r="Y376" t="str">
        <f>+VLOOKUP(A376,'[1]Tárgy kurzusai'!$A:$C,3,0)</f>
        <v>SZE:08:00-09:30(E.3.309)</v>
      </c>
      <c r="Z376">
        <f>+VLOOKUP(A376,'[1]Tárgy kurzusai'!$A:$F,6,0)</f>
        <v>5</v>
      </c>
      <c r="AA376" t="s">
        <v>66</v>
      </c>
      <c r="AB376" t="s">
        <v>71</v>
      </c>
      <c r="AC376" t="s">
        <v>72</v>
      </c>
      <c r="AD376" t="s">
        <v>83</v>
      </c>
      <c r="AE376" t="s">
        <v>69</v>
      </c>
      <c r="AF376" t="s">
        <v>69</v>
      </c>
      <c r="AG376" t="s">
        <v>56</v>
      </c>
      <c r="AH376" t="s">
        <v>55</v>
      </c>
      <c r="AI376" t="s">
        <v>55</v>
      </c>
      <c r="AJ376" t="s">
        <v>57</v>
      </c>
      <c r="AK376" t="s">
        <v>79</v>
      </c>
      <c r="AL376" t="s">
        <v>59</v>
      </c>
      <c r="AM376" t="s">
        <v>60</v>
      </c>
      <c r="AN376">
        <v>6</v>
      </c>
      <c r="AO376">
        <v>27</v>
      </c>
      <c r="AP376">
        <v>4</v>
      </c>
      <c r="AQ376">
        <v>11</v>
      </c>
      <c r="AR376" t="s">
        <v>55</v>
      </c>
      <c r="AS376" t="s">
        <v>61</v>
      </c>
      <c r="AT376" t="s">
        <v>56</v>
      </c>
      <c r="AU376" t="s">
        <v>62</v>
      </c>
      <c r="AV376" t="s">
        <v>63</v>
      </c>
      <c r="AW376" t="s">
        <v>60</v>
      </c>
      <c r="AX376" t="s">
        <v>60</v>
      </c>
      <c r="AY376">
        <v>5</v>
      </c>
      <c r="AZ376" t="s">
        <v>64</v>
      </c>
      <c r="BA376">
        <v>7</v>
      </c>
      <c r="BB376">
        <v>9</v>
      </c>
      <c r="BC376" t="s">
        <v>65</v>
      </c>
    </row>
    <row r="377" spans="1:55" x14ac:dyDescent="0.2">
      <c r="A377" t="s">
        <v>18</v>
      </c>
      <c r="B377" t="s">
        <v>6</v>
      </c>
      <c r="C377" s="3">
        <v>0</v>
      </c>
      <c r="D377" s="3">
        <v>4.5</v>
      </c>
      <c r="E377" s="3">
        <v>5.5</v>
      </c>
      <c r="F377" s="3">
        <v>6</v>
      </c>
      <c r="G377" s="3">
        <v>-15.5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0.75</v>
      </c>
      <c r="R377">
        <v>1</v>
      </c>
      <c r="S377">
        <v>1</v>
      </c>
      <c r="T377">
        <f t="shared" si="46"/>
        <v>0</v>
      </c>
      <c r="U377">
        <f t="shared" si="47"/>
        <v>4.5</v>
      </c>
      <c r="V377">
        <f t="shared" si="48"/>
        <v>5.5</v>
      </c>
      <c r="W377">
        <f t="shared" si="49"/>
        <v>6</v>
      </c>
      <c r="X377">
        <f t="shared" si="45"/>
        <v>24.5</v>
      </c>
      <c r="Y377" t="str">
        <f>+VLOOKUP(A377,'[1]Tárgy kurzusai'!$A:$C,3,0)</f>
        <v>SZE:08:00-09:30(E.3.309)</v>
      </c>
      <c r="Z377">
        <f>+VLOOKUP(A377,'[1]Tárgy kurzusai'!$A:$F,6,0)</f>
        <v>5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</row>
    <row r="378" spans="1:55" x14ac:dyDescent="0.2">
      <c r="A378" t="s">
        <v>18</v>
      </c>
      <c r="B378" t="s">
        <v>6</v>
      </c>
      <c r="C378" s="3">
        <v>8</v>
      </c>
      <c r="D378" s="3">
        <v>7.5</v>
      </c>
      <c r="E378" s="3">
        <v>8.5</v>
      </c>
      <c r="F378" s="3">
        <v>8.5</v>
      </c>
      <c r="G378" s="3">
        <v>-22.5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0.75</v>
      </c>
      <c r="R378">
        <v>1</v>
      </c>
      <c r="S378">
        <v>1</v>
      </c>
      <c r="T378">
        <f t="shared" si="46"/>
        <v>8</v>
      </c>
      <c r="U378">
        <f t="shared" si="47"/>
        <v>7.5</v>
      </c>
      <c r="V378">
        <f t="shared" si="48"/>
        <v>8.5</v>
      </c>
      <c r="W378">
        <f t="shared" si="49"/>
        <v>8.5</v>
      </c>
      <c r="X378">
        <f t="shared" si="45"/>
        <v>17.5</v>
      </c>
      <c r="Y378" t="str">
        <f>+VLOOKUP(A378,'[1]Tárgy kurzusai'!$A:$C,3,0)</f>
        <v>SZE:08:00-09:30(E.3.309)</v>
      </c>
      <c r="Z378">
        <f>+VLOOKUP(A378,'[1]Tárgy kurzusai'!$A:$F,6,0)</f>
        <v>5</v>
      </c>
      <c r="AA378" t="s">
        <v>66</v>
      </c>
      <c r="AB378" t="s">
        <v>71</v>
      </c>
      <c r="AC378" t="s">
        <v>51</v>
      </c>
      <c r="AD378" t="s">
        <v>68</v>
      </c>
      <c r="AE378" t="s">
        <v>69</v>
      </c>
      <c r="AF378" t="s">
        <v>69</v>
      </c>
      <c r="AG378" t="s">
        <v>55</v>
      </c>
      <c r="AH378" t="s">
        <v>55</v>
      </c>
      <c r="AI378" t="s">
        <v>55</v>
      </c>
      <c r="AJ378" t="s">
        <v>57</v>
      </c>
      <c r="AK378" t="s">
        <v>58</v>
      </c>
      <c r="AL378" t="s">
        <v>59</v>
      </c>
      <c r="AM378" t="s">
        <v>60</v>
      </c>
      <c r="AN378">
        <v>7</v>
      </c>
      <c r="AO378">
        <v>33</v>
      </c>
      <c r="AP378">
        <v>5</v>
      </c>
      <c r="AQ378">
        <v>13</v>
      </c>
      <c r="AR378" t="s">
        <v>55</v>
      </c>
      <c r="AS378" t="s">
        <v>55</v>
      </c>
      <c r="AT378" t="s">
        <v>56</v>
      </c>
      <c r="AU378" t="s">
        <v>62</v>
      </c>
      <c r="AV378" t="s">
        <v>63</v>
      </c>
      <c r="AW378" t="s">
        <v>60</v>
      </c>
      <c r="AX378" t="s">
        <v>60</v>
      </c>
      <c r="AY378">
        <v>4</v>
      </c>
      <c r="AZ378" t="s">
        <v>64</v>
      </c>
      <c r="BA378">
        <v>7</v>
      </c>
      <c r="BB378">
        <v>7</v>
      </c>
      <c r="BC378" t="s">
        <v>70</v>
      </c>
    </row>
    <row r="379" spans="1:55" x14ac:dyDescent="0.2">
      <c r="A379" t="s">
        <v>18</v>
      </c>
      <c r="B379" t="s">
        <v>6</v>
      </c>
      <c r="C379" s="3">
        <v>5</v>
      </c>
      <c r="D379" s="3">
        <v>11.5</v>
      </c>
      <c r="E379" s="3">
        <v>8.5</v>
      </c>
      <c r="F379" s="3">
        <v>4.5</v>
      </c>
      <c r="G379" s="3">
        <v>-11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0.33</v>
      </c>
      <c r="P379">
        <v>1</v>
      </c>
      <c r="Q379">
        <v>0.5</v>
      </c>
      <c r="R379">
        <v>1</v>
      </c>
      <c r="S379">
        <v>1</v>
      </c>
      <c r="T379">
        <f t="shared" si="46"/>
        <v>5</v>
      </c>
      <c r="U379">
        <f t="shared" si="47"/>
        <v>11.5</v>
      </c>
      <c r="V379">
        <f t="shared" si="48"/>
        <v>8.5</v>
      </c>
      <c r="W379">
        <f t="shared" si="49"/>
        <v>4.5</v>
      </c>
      <c r="X379">
        <f t="shared" si="45"/>
        <v>29</v>
      </c>
      <c r="Y379" t="str">
        <f>+VLOOKUP(A379,'[1]Tárgy kurzusai'!$A:$C,3,0)</f>
        <v>SZE:08:00-09:30(E.3.309)</v>
      </c>
      <c r="Z379">
        <f>+VLOOKUP(A379,'[1]Tárgy kurzusai'!$A:$F,6,0)</f>
        <v>5</v>
      </c>
      <c r="AA379" t="s">
        <v>49</v>
      </c>
      <c r="AB379" t="s">
        <v>71</v>
      </c>
      <c r="AC379" t="s">
        <v>72</v>
      </c>
      <c r="AD379" t="s">
        <v>85</v>
      </c>
      <c r="AE379" t="s">
        <v>69</v>
      </c>
      <c r="AF379" t="s">
        <v>69</v>
      </c>
      <c r="AG379" t="s">
        <v>55</v>
      </c>
      <c r="AH379" t="s">
        <v>55</v>
      </c>
      <c r="AI379" t="s">
        <v>56</v>
      </c>
      <c r="AJ379" t="s">
        <v>57</v>
      </c>
      <c r="AK379" t="s">
        <v>58</v>
      </c>
      <c r="AL379" t="s">
        <v>59</v>
      </c>
      <c r="AM379" t="s">
        <v>60</v>
      </c>
      <c r="AN379">
        <v>14</v>
      </c>
      <c r="AO379">
        <v>36</v>
      </c>
      <c r="AP379">
        <v>5</v>
      </c>
      <c r="AQ379">
        <v>7</v>
      </c>
      <c r="AR379" t="s">
        <v>55</v>
      </c>
      <c r="AS379" t="s">
        <v>61</v>
      </c>
      <c r="AT379" t="s">
        <v>56</v>
      </c>
      <c r="AU379" t="s">
        <v>62</v>
      </c>
      <c r="AV379" t="s">
        <v>63</v>
      </c>
      <c r="AW379" t="s">
        <v>60</v>
      </c>
      <c r="AX379" t="s">
        <v>60</v>
      </c>
      <c r="AY379">
        <v>4</v>
      </c>
      <c r="AZ379" t="s">
        <v>64</v>
      </c>
      <c r="BA379">
        <v>6</v>
      </c>
      <c r="BB379">
        <v>8</v>
      </c>
      <c r="BC379" t="s">
        <v>82</v>
      </c>
    </row>
    <row r="380" spans="1:55" x14ac:dyDescent="0.2">
      <c r="A380" t="s">
        <v>18</v>
      </c>
      <c r="B380" t="s">
        <v>6</v>
      </c>
      <c r="C380" s="3">
        <v>16</v>
      </c>
      <c r="D380" s="3">
        <v>15</v>
      </c>
      <c r="E380" s="3">
        <v>12</v>
      </c>
      <c r="F380" s="3">
        <v>10.5</v>
      </c>
      <c r="G380" s="3">
        <v>-3</v>
      </c>
      <c r="H380">
        <v>1</v>
      </c>
      <c r="I380">
        <v>1</v>
      </c>
      <c r="J380">
        <v>0.75</v>
      </c>
      <c r="K380">
        <v>1</v>
      </c>
      <c r="L380">
        <v>1</v>
      </c>
      <c r="M380">
        <v>1</v>
      </c>
      <c r="N380">
        <v>1</v>
      </c>
      <c r="O380">
        <v>0.67</v>
      </c>
      <c r="P380">
        <v>1</v>
      </c>
      <c r="Q380">
        <v>0.75</v>
      </c>
      <c r="R380">
        <v>1</v>
      </c>
      <c r="S380">
        <v>1</v>
      </c>
      <c r="T380">
        <f t="shared" si="46"/>
        <v>16</v>
      </c>
      <c r="U380">
        <f t="shared" si="47"/>
        <v>15</v>
      </c>
      <c r="V380">
        <f t="shared" si="48"/>
        <v>12</v>
      </c>
      <c r="W380">
        <f t="shared" si="49"/>
        <v>10.5</v>
      </c>
      <c r="X380">
        <f t="shared" si="45"/>
        <v>37</v>
      </c>
      <c r="Y380" t="str">
        <f>+VLOOKUP(A380,'[1]Tárgy kurzusai'!$A:$C,3,0)</f>
        <v>SZE:08:00-09:30(E.3.309)</v>
      </c>
      <c r="Z380">
        <f>+VLOOKUP(A380,'[1]Tárgy kurzusai'!$A:$F,6,0)</f>
        <v>5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</row>
    <row r="381" spans="1:55" x14ac:dyDescent="0.2">
      <c r="A381" t="s">
        <v>18</v>
      </c>
      <c r="B381" t="s">
        <v>6</v>
      </c>
      <c r="C381" s="3">
        <v>14</v>
      </c>
      <c r="D381" s="3">
        <v>15.5</v>
      </c>
      <c r="E381" s="3">
        <v>12.5</v>
      </c>
      <c r="F381" s="3">
        <v>6</v>
      </c>
      <c r="G381" s="3">
        <v>-15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0.5</v>
      </c>
      <c r="R381">
        <v>1</v>
      </c>
      <c r="S381">
        <v>1</v>
      </c>
      <c r="T381">
        <f t="shared" si="46"/>
        <v>14</v>
      </c>
      <c r="U381">
        <f t="shared" si="47"/>
        <v>15.5</v>
      </c>
      <c r="V381">
        <f t="shared" si="48"/>
        <v>12.5</v>
      </c>
      <c r="W381">
        <f t="shared" si="49"/>
        <v>6</v>
      </c>
      <c r="X381">
        <f t="shared" si="45"/>
        <v>25</v>
      </c>
      <c r="Y381" t="str">
        <f>+VLOOKUP(A381,'[1]Tárgy kurzusai'!$A:$C,3,0)</f>
        <v>SZE:08:00-09:30(E.3.309)</v>
      </c>
      <c r="Z381">
        <f>+VLOOKUP(A381,'[1]Tárgy kurzusai'!$A:$F,6,0)</f>
        <v>5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</row>
    <row r="382" spans="1:55" x14ac:dyDescent="0.2">
      <c r="A382" t="s">
        <v>18</v>
      </c>
      <c r="B382" t="s">
        <v>6</v>
      </c>
      <c r="C382" s="3">
        <v>16</v>
      </c>
      <c r="D382" s="3">
        <v>12</v>
      </c>
      <c r="E382" s="3">
        <v>12.5</v>
      </c>
      <c r="F382" s="3">
        <v>8.5</v>
      </c>
      <c r="G382" s="3">
        <v>-10.5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0.75</v>
      </c>
      <c r="O382">
        <v>0.67</v>
      </c>
      <c r="P382">
        <v>1</v>
      </c>
      <c r="Q382">
        <v>1</v>
      </c>
      <c r="R382">
        <v>0.75</v>
      </c>
      <c r="S382">
        <v>1</v>
      </c>
      <c r="T382">
        <f t="shared" si="46"/>
        <v>16</v>
      </c>
      <c r="U382">
        <f t="shared" si="47"/>
        <v>12</v>
      </c>
      <c r="V382">
        <f t="shared" si="48"/>
        <v>12.5</v>
      </c>
      <c r="W382">
        <f t="shared" si="49"/>
        <v>8.5</v>
      </c>
      <c r="X382">
        <f t="shared" si="45"/>
        <v>29.5</v>
      </c>
      <c r="Y382" t="str">
        <f>+VLOOKUP(A382,'[1]Tárgy kurzusai'!$A:$C,3,0)</f>
        <v>SZE:08:00-09:30(E.3.309)</v>
      </c>
      <c r="Z382">
        <f>+VLOOKUP(A382,'[1]Tárgy kurzusai'!$A:$F,6,0)</f>
        <v>5</v>
      </c>
      <c r="AA382" t="s">
        <v>49</v>
      </c>
      <c r="AB382" t="s">
        <v>71</v>
      </c>
      <c r="AC382" t="s">
        <v>74</v>
      </c>
      <c r="AD382" t="s">
        <v>60</v>
      </c>
      <c r="AE382" t="s">
        <v>69</v>
      </c>
      <c r="AF382" t="s">
        <v>69</v>
      </c>
      <c r="AG382" t="s">
        <v>55</v>
      </c>
      <c r="AH382" t="s">
        <v>55</v>
      </c>
      <c r="AI382" t="s">
        <v>55</v>
      </c>
      <c r="AJ382" t="s">
        <v>57</v>
      </c>
      <c r="AK382" t="s">
        <v>58</v>
      </c>
      <c r="AL382" t="s">
        <v>59</v>
      </c>
      <c r="AM382" t="s">
        <v>60</v>
      </c>
      <c r="AN382">
        <v>7</v>
      </c>
      <c r="AO382">
        <v>37</v>
      </c>
      <c r="AP382">
        <v>5</v>
      </c>
      <c r="AQ382">
        <v>14</v>
      </c>
      <c r="AR382" t="s">
        <v>55</v>
      </c>
      <c r="AS382" t="s">
        <v>55</v>
      </c>
      <c r="AT382" t="s">
        <v>56</v>
      </c>
      <c r="AU382" t="s">
        <v>62</v>
      </c>
      <c r="AV382" t="s">
        <v>63</v>
      </c>
      <c r="AW382" t="s">
        <v>60</v>
      </c>
      <c r="AX382" t="s">
        <v>60</v>
      </c>
      <c r="AY382">
        <v>3</v>
      </c>
      <c r="AZ382" t="s">
        <v>64</v>
      </c>
      <c r="BA382">
        <v>4</v>
      </c>
      <c r="BB382">
        <v>5</v>
      </c>
      <c r="BC382" t="s">
        <v>76</v>
      </c>
    </row>
    <row r="383" spans="1:55" x14ac:dyDescent="0.2">
      <c r="A383" t="s">
        <v>18</v>
      </c>
      <c r="B383" t="s">
        <v>6</v>
      </c>
      <c r="C383" s="3">
        <v>11</v>
      </c>
      <c r="D383" s="3">
        <v>9</v>
      </c>
      <c r="E383" s="3">
        <v>10.5</v>
      </c>
      <c r="F383" s="3">
        <v>9.5</v>
      </c>
      <c r="G383" s="3">
        <v>-7.5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0.75</v>
      </c>
      <c r="O383">
        <v>1</v>
      </c>
      <c r="P383">
        <v>1</v>
      </c>
      <c r="Q383">
        <v>0.75</v>
      </c>
      <c r="R383">
        <v>0</v>
      </c>
      <c r="S383">
        <v>1</v>
      </c>
      <c r="T383">
        <f t="shared" si="46"/>
        <v>11</v>
      </c>
      <c r="U383">
        <f t="shared" si="47"/>
        <v>9</v>
      </c>
      <c r="V383">
        <f t="shared" si="48"/>
        <v>10.5</v>
      </c>
      <c r="W383">
        <f t="shared" si="49"/>
        <v>9.5</v>
      </c>
      <c r="X383">
        <f t="shared" si="45"/>
        <v>32.5</v>
      </c>
      <c r="Y383" t="str">
        <f>+VLOOKUP(A383,'[1]Tárgy kurzusai'!$A:$C,3,0)</f>
        <v>SZE:08:00-09:30(E.3.309)</v>
      </c>
      <c r="Z383">
        <f>+VLOOKUP(A383,'[1]Tárgy kurzusai'!$A:$F,6,0)</f>
        <v>5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</row>
    <row r="384" spans="1:55" x14ac:dyDescent="0.2">
      <c r="A384" t="s">
        <v>18</v>
      </c>
      <c r="B384" t="s">
        <v>6</v>
      </c>
      <c r="C384" s="3">
        <v>8.5</v>
      </c>
      <c r="D384" s="3">
        <v>5.5</v>
      </c>
      <c r="E384" s="3">
        <v>0</v>
      </c>
      <c r="F384" s="3">
        <v>0</v>
      </c>
      <c r="G384" s="3" t="e">
        <v>#N/A</v>
      </c>
      <c r="H384">
        <v>0.5</v>
      </c>
      <c r="I384">
        <v>0</v>
      </c>
      <c r="J384">
        <v>1</v>
      </c>
      <c r="K384">
        <v>1</v>
      </c>
      <c r="L384">
        <v>1</v>
      </c>
      <c r="M384">
        <v>0.5</v>
      </c>
      <c r="N384">
        <v>1</v>
      </c>
      <c r="O384">
        <v>0.33</v>
      </c>
      <c r="P384">
        <v>0.75</v>
      </c>
      <c r="Q384">
        <v>0.75</v>
      </c>
      <c r="R384">
        <v>1</v>
      </c>
      <c r="S384">
        <v>1</v>
      </c>
      <c r="T384">
        <f t="shared" si="46"/>
        <v>8.5</v>
      </c>
      <c r="U384">
        <f t="shared" si="47"/>
        <v>5.5</v>
      </c>
      <c r="V384">
        <f t="shared" si="48"/>
        <v>0</v>
      </c>
      <c r="W384">
        <f t="shared" si="49"/>
        <v>0</v>
      </c>
      <c r="X384" t="e">
        <f t="shared" si="45"/>
        <v>#N/A</v>
      </c>
      <c r="Y384" t="str">
        <f>+VLOOKUP(A384,'[1]Tárgy kurzusai'!$A:$C,3,0)</f>
        <v>SZE:08:00-09:30(E.3.309)</v>
      </c>
      <c r="Z384">
        <f>+VLOOKUP(A384,'[1]Tárgy kurzusai'!$A:$F,6,0)</f>
        <v>5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</row>
    <row r="385" spans="1:55" x14ac:dyDescent="0.2">
      <c r="A385" t="s">
        <v>18</v>
      </c>
      <c r="B385" t="s">
        <v>6</v>
      </c>
      <c r="C385" s="3">
        <v>12</v>
      </c>
      <c r="D385" s="3">
        <v>2.5</v>
      </c>
      <c r="E385" s="3">
        <v>0</v>
      </c>
      <c r="F385" s="3">
        <v>0</v>
      </c>
      <c r="G385" s="3" t="e">
        <v>#N/A</v>
      </c>
      <c r="H385">
        <v>1</v>
      </c>
      <c r="I385">
        <v>0.75</v>
      </c>
      <c r="J385">
        <v>1</v>
      </c>
      <c r="K385">
        <v>1</v>
      </c>
      <c r="L385">
        <v>0</v>
      </c>
      <c r="M385">
        <v>0</v>
      </c>
      <c r="N385">
        <v>0.75</v>
      </c>
      <c r="O385">
        <v>0.17</v>
      </c>
      <c r="P385">
        <v>1</v>
      </c>
      <c r="Q385">
        <v>0.75</v>
      </c>
      <c r="R385">
        <v>0</v>
      </c>
      <c r="S385">
        <v>0</v>
      </c>
      <c r="T385">
        <f t="shared" si="46"/>
        <v>12</v>
      </c>
      <c r="U385">
        <f t="shared" si="47"/>
        <v>2.5</v>
      </c>
      <c r="V385">
        <f t="shared" si="48"/>
        <v>0</v>
      </c>
      <c r="W385">
        <f t="shared" si="49"/>
        <v>0</v>
      </c>
      <c r="X385" t="e">
        <f t="shared" si="45"/>
        <v>#N/A</v>
      </c>
      <c r="Y385" t="str">
        <f>+VLOOKUP(A385,'[1]Tárgy kurzusai'!$A:$C,3,0)</f>
        <v>SZE:08:00-09:30(E.3.309)</v>
      </c>
      <c r="Z385">
        <f>+VLOOKUP(A385,'[1]Tárgy kurzusai'!$A:$F,6,0)</f>
        <v>5</v>
      </c>
      <c r="AA385" t="s">
        <v>66</v>
      </c>
      <c r="AB385" t="s">
        <v>71</v>
      </c>
      <c r="AC385" t="s">
        <v>74</v>
      </c>
      <c r="AD385" t="s">
        <v>60</v>
      </c>
      <c r="AE385" t="s">
        <v>69</v>
      </c>
      <c r="AF385" t="s">
        <v>69</v>
      </c>
      <c r="AG385" t="s">
        <v>55</v>
      </c>
      <c r="AH385" t="s">
        <v>55</v>
      </c>
      <c r="AI385" t="s">
        <v>56</v>
      </c>
      <c r="AJ385" t="s">
        <v>57</v>
      </c>
      <c r="AK385" t="s">
        <v>79</v>
      </c>
      <c r="AL385" t="s">
        <v>59</v>
      </c>
      <c r="AM385" t="s">
        <v>60</v>
      </c>
      <c r="AN385">
        <v>6</v>
      </c>
      <c r="AO385">
        <v>33</v>
      </c>
      <c r="AP385">
        <v>5</v>
      </c>
      <c r="AQ385">
        <v>12</v>
      </c>
      <c r="AR385" t="s">
        <v>55</v>
      </c>
      <c r="AS385" t="s">
        <v>91</v>
      </c>
      <c r="AT385" t="s">
        <v>56</v>
      </c>
      <c r="AU385" t="s">
        <v>62</v>
      </c>
      <c r="AV385" t="s">
        <v>63</v>
      </c>
      <c r="AW385" t="s">
        <v>60</v>
      </c>
      <c r="AX385" t="s">
        <v>60</v>
      </c>
      <c r="AY385">
        <v>2</v>
      </c>
      <c r="AZ385" t="s">
        <v>114</v>
      </c>
      <c r="BA385">
        <v>10</v>
      </c>
      <c r="BB385">
        <v>10</v>
      </c>
      <c r="BC385" t="s">
        <v>82</v>
      </c>
    </row>
    <row r="386" spans="1:55" x14ac:dyDescent="0.2">
      <c r="A386" t="s">
        <v>18</v>
      </c>
      <c r="B386" t="s">
        <v>6</v>
      </c>
      <c r="C386" s="3">
        <v>11</v>
      </c>
      <c r="D386" s="3">
        <v>11.5</v>
      </c>
      <c r="E386" s="3">
        <v>12.5</v>
      </c>
      <c r="F386" s="3">
        <v>9.5</v>
      </c>
      <c r="G386" s="3">
        <v>-12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1</v>
      </c>
      <c r="S386">
        <v>1</v>
      </c>
      <c r="T386">
        <f t="shared" si="46"/>
        <v>11</v>
      </c>
      <c r="U386">
        <f t="shared" si="47"/>
        <v>11.5</v>
      </c>
      <c r="V386">
        <f t="shared" si="48"/>
        <v>12.5</v>
      </c>
      <c r="W386">
        <f t="shared" si="49"/>
        <v>9.5</v>
      </c>
      <c r="X386">
        <f t="shared" si="45"/>
        <v>28</v>
      </c>
      <c r="Y386" t="str">
        <f>+VLOOKUP(A386,'[1]Tárgy kurzusai'!$A:$C,3,0)</f>
        <v>SZE:08:00-09:30(E.3.309)</v>
      </c>
      <c r="Z386">
        <f>+VLOOKUP(A386,'[1]Tárgy kurzusai'!$A:$F,6,0)</f>
        <v>5</v>
      </c>
      <c r="AA386" t="s">
        <v>66</v>
      </c>
      <c r="AB386" t="s">
        <v>71</v>
      </c>
      <c r="AC386" t="s">
        <v>51</v>
      </c>
      <c r="AD386" t="s">
        <v>68</v>
      </c>
      <c r="AE386" t="s">
        <v>69</v>
      </c>
      <c r="AF386" t="s">
        <v>69</v>
      </c>
      <c r="AG386" t="s">
        <v>55</v>
      </c>
      <c r="AH386" t="s">
        <v>55</v>
      </c>
      <c r="AI386" t="s">
        <v>55</v>
      </c>
      <c r="AJ386" t="s">
        <v>57</v>
      </c>
      <c r="AK386" t="s">
        <v>58</v>
      </c>
      <c r="AL386" t="s">
        <v>59</v>
      </c>
      <c r="AM386" t="s">
        <v>60</v>
      </c>
      <c r="AN386">
        <v>7</v>
      </c>
      <c r="AO386">
        <v>33</v>
      </c>
      <c r="AP386">
        <v>5</v>
      </c>
      <c r="AQ386">
        <v>15</v>
      </c>
      <c r="AR386" t="s">
        <v>55</v>
      </c>
      <c r="AS386" t="s">
        <v>55</v>
      </c>
      <c r="AT386" t="s">
        <v>56</v>
      </c>
      <c r="AU386" t="s">
        <v>62</v>
      </c>
      <c r="AV386" t="s">
        <v>63</v>
      </c>
      <c r="AW386" t="s">
        <v>60</v>
      </c>
      <c r="AX386" t="s">
        <v>60</v>
      </c>
      <c r="AY386">
        <v>3</v>
      </c>
      <c r="AZ386" t="s">
        <v>64</v>
      </c>
      <c r="BA386">
        <v>7</v>
      </c>
      <c r="BB386">
        <v>8</v>
      </c>
      <c r="BC386" t="s">
        <v>76</v>
      </c>
    </row>
    <row r="387" spans="1:55" x14ac:dyDescent="0.2">
      <c r="A387" t="s">
        <v>18</v>
      </c>
      <c r="B387" t="s">
        <v>6</v>
      </c>
      <c r="C387" s="3">
        <v>13</v>
      </c>
      <c r="D387" s="3">
        <v>12</v>
      </c>
      <c r="E387" s="3">
        <v>14</v>
      </c>
      <c r="F387" s="3">
        <v>16</v>
      </c>
      <c r="G387" s="3">
        <v>-7.5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0.75</v>
      </c>
      <c r="R387">
        <v>1</v>
      </c>
      <c r="S387">
        <v>1</v>
      </c>
      <c r="T387">
        <f t="shared" si="46"/>
        <v>13</v>
      </c>
      <c r="U387">
        <f t="shared" si="47"/>
        <v>12</v>
      </c>
      <c r="V387">
        <f t="shared" si="48"/>
        <v>14</v>
      </c>
      <c r="W387">
        <f t="shared" si="49"/>
        <v>16</v>
      </c>
      <c r="X387">
        <f t="shared" si="45"/>
        <v>32.5</v>
      </c>
      <c r="Y387" t="str">
        <f>+VLOOKUP(A387,'[1]Tárgy kurzusai'!$A:$C,3,0)</f>
        <v>SZE:08:00-09:30(E.3.309)</v>
      </c>
      <c r="Z387">
        <f>+VLOOKUP(A387,'[1]Tárgy kurzusai'!$A:$F,6,0)</f>
        <v>5</v>
      </c>
      <c r="AA387" t="s">
        <v>49</v>
      </c>
      <c r="AB387" t="s">
        <v>71</v>
      </c>
      <c r="AC387" t="s">
        <v>74</v>
      </c>
      <c r="AD387" t="s">
        <v>60</v>
      </c>
      <c r="AE387" t="s">
        <v>53</v>
      </c>
      <c r="AF387" t="s">
        <v>53</v>
      </c>
      <c r="AG387" t="s">
        <v>55</v>
      </c>
      <c r="AH387" t="s">
        <v>55</v>
      </c>
      <c r="AI387" t="s">
        <v>56</v>
      </c>
      <c r="AJ387" t="s">
        <v>57</v>
      </c>
      <c r="AK387" t="s">
        <v>58</v>
      </c>
      <c r="AL387" t="s">
        <v>59</v>
      </c>
      <c r="AM387" t="s">
        <v>60</v>
      </c>
      <c r="AN387">
        <v>6</v>
      </c>
      <c r="AO387">
        <v>33</v>
      </c>
      <c r="AP387">
        <v>5</v>
      </c>
      <c r="AQ387">
        <v>5</v>
      </c>
      <c r="AR387" t="s">
        <v>55</v>
      </c>
      <c r="AS387" t="s">
        <v>61</v>
      </c>
      <c r="AT387" t="s">
        <v>56</v>
      </c>
      <c r="AU387" t="s">
        <v>62</v>
      </c>
      <c r="AV387" t="s">
        <v>63</v>
      </c>
      <c r="AW387" t="s">
        <v>60</v>
      </c>
      <c r="AX387" t="s">
        <v>60</v>
      </c>
      <c r="AY387">
        <v>3</v>
      </c>
      <c r="AZ387" t="s">
        <v>64</v>
      </c>
      <c r="BA387">
        <v>5</v>
      </c>
      <c r="BB387">
        <v>8</v>
      </c>
      <c r="BC387" t="s">
        <v>82</v>
      </c>
    </row>
    <row r="388" spans="1:55" x14ac:dyDescent="0.2">
      <c r="A388" t="s">
        <v>18</v>
      </c>
      <c r="B388" t="s">
        <v>6</v>
      </c>
      <c r="C388" s="3">
        <v>13.5</v>
      </c>
      <c r="D388" s="3">
        <v>14.5</v>
      </c>
      <c r="E388" s="3">
        <v>8.5</v>
      </c>
      <c r="F388" s="3">
        <v>8</v>
      </c>
      <c r="G388" s="3">
        <v>-10.5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0.5</v>
      </c>
      <c r="R388">
        <v>1</v>
      </c>
      <c r="S388">
        <v>1</v>
      </c>
      <c r="T388">
        <f t="shared" si="46"/>
        <v>13.5</v>
      </c>
      <c r="U388">
        <f t="shared" si="47"/>
        <v>14.5</v>
      </c>
      <c r="V388">
        <f t="shared" si="48"/>
        <v>8.5</v>
      </c>
      <c r="W388">
        <f t="shared" si="49"/>
        <v>8</v>
      </c>
      <c r="X388">
        <f t="shared" si="45"/>
        <v>29.5</v>
      </c>
      <c r="Y388" t="str">
        <f>+VLOOKUP(A388,'[1]Tárgy kurzusai'!$A:$C,3,0)</f>
        <v>SZE:08:00-09:30(E.3.309)</v>
      </c>
      <c r="Z388">
        <f>+VLOOKUP(A388,'[1]Tárgy kurzusai'!$A:$F,6,0)</f>
        <v>5</v>
      </c>
      <c r="AA388" t="s">
        <v>49</v>
      </c>
      <c r="AB388" t="s">
        <v>67</v>
      </c>
      <c r="AC388" t="s">
        <v>72</v>
      </c>
      <c r="AD388" t="s">
        <v>92</v>
      </c>
      <c r="AE388" t="s">
        <v>69</v>
      </c>
      <c r="AF388" t="s">
        <v>69</v>
      </c>
      <c r="AG388" t="s">
        <v>55</v>
      </c>
      <c r="AH388" t="s">
        <v>55</v>
      </c>
      <c r="AI388" t="s">
        <v>55</v>
      </c>
      <c r="AJ388" t="s">
        <v>57</v>
      </c>
      <c r="AK388" t="s">
        <v>58</v>
      </c>
      <c r="AL388" t="s">
        <v>59</v>
      </c>
      <c r="AM388" t="s">
        <v>60</v>
      </c>
      <c r="AN388">
        <v>5</v>
      </c>
      <c r="AO388">
        <v>30</v>
      </c>
      <c r="AP388">
        <v>5</v>
      </c>
      <c r="AQ388">
        <v>11</v>
      </c>
      <c r="AR388" t="s">
        <v>55</v>
      </c>
      <c r="AS388" t="s">
        <v>61</v>
      </c>
      <c r="AT388" t="s">
        <v>55</v>
      </c>
      <c r="AU388" t="s">
        <v>62</v>
      </c>
      <c r="AV388" t="s">
        <v>63</v>
      </c>
      <c r="AW388" t="s">
        <v>60</v>
      </c>
      <c r="AX388" t="s">
        <v>60</v>
      </c>
      <c r="AY388">
        <v>4</v>
      </c>
      <c r="AZ388" t="s">
        <v>64</v>
      </c>
      <c r="BA388">
        <v>8</v>
      </c>
      <c r="BB388">
        <v>8</v>
      </c>
      <c r="BC388" t="s">
        <v>65</v>
      </c>
    </row>
    <row r="389" spans="1:55" x14ac:dyDescent="0.2">
      <c r="A389" t="s">
        <v>18</v>
      </c>
      <c r="B389" t="s">
        <v>6</v>
      </c>
      <c r="C389" s="3">
        <v>8</v>
      </c>
      <c r="D389" s="3">
        <v>7.5</v>
      </c>
      <c r="E389" s="3">
        <v>5</v>
      </c>
      <c r="F389" s="3">
        <v>4</v>
      </c>
      <c r="G389" s="3">
        <v>-18.5</v>
      </c>
      <c r="H389">
        <v>1</v>
      </c>
      <c r="I389">
        <v>1</v>
      </c>
      <c r="J389">
        <v>1</v>
      </c>
      <c r="K389">
        <v>1</v>
      </c>
      <c r="L389">
        <v>0.5</v>
      </c>
      <c r="M389">
        <v>1</v>
      </c>
      <c r="N389">
        <v>1</v>
      </c>
      <c r="O389">
        <v>1</v>
      </c>
      <c r="P389">
        <v>1</v>
      </c>
      <c r="Q389">
        <v>0.5</v>
      </c>
      <c r="R389">
        <v>1</v>
      </c>
      <c r="S389">
        <v>1</v>
      </c>
      <c r="T389">
        <f t="shared" si="46"/>
        <v>8</v>
      </c>
      <c r="U389">
        <f t="shared" si="47"/>
        <v>7.5</v>
      </c>
      <c r="V389">
        <f t="shared" si="48"/>
        <v>5</v>
      </c>
      <c r="W389">
        <f t="shared" si="49"/>
        <v>4</v>
      </c>
      <c r="X389">
        <f t="shared" si="45"/>
        <v>21.5</v>
      </c>
      <c r="Y389" t="str">
        <f>+VLOOKUP(A389,'[1]Tárgy kurzusai'!$A:$C,3,0)</f>
        <v>SZE:08:00-09:30(E.3.309)</v>
      </c>
      <c r="Z389">
        <f>+VLOOKUP(A389,'[1]Tárgy kurzusai'!$A:$F,6,0)</f>
        <v>5</v>
      </c>
      <c r="AA389" t="s">
        <v>66</v>
      </c>
      <c r="AB389" t="s">
        <v>67</v>
      </c>
      <c r="AC389" t="s">
        <v>72</v>
      </c>
      <c r="AD389" t="s">
        <v>100</v>
      </c>
      <c r="AE389" t="s">
        <v>69</v>
      </c>
      <c r="AF389" t="s">
        <v>69</v>
      </c>
      <c r="AG389" t="s">
        <v>55</v>
      </c>
      <c r="AH389" t="s">
        <v>56</v>
      </c>
      <c r="AI389" t="s">
        <v>56</v>
      </c>
      <c r="AJ389" t="s">
        <v>57</v>
      </c>
      <c r="AK389" t="s">
        <v>58</v>
      </c>
      <c r="AL389" t="s">
        <v>59</v>
      </c>
      <c r="AM389" t="s">
        <v>60</v>
      </c>
      <c r="AN389">
        <v>7</v>
      </c>
      <c r="AO389">
        <v>33</v>
      </c>
      <c r="AP389">
        <v>5</v>
      </c>
      <c r="AQ389">
        <v>14</v>
      </c>
      <c r="AR389" t="s">
        <v>55</v>
      </c>
      <c r="AS389" t="s">
        <v>55</v>
      </c>
      <c r="AT389" t="s">
        <v>56</v>
      </c>
      <c r="AU389" t="s">
        <v>62</v>
      </c>
      <c r="AV389" t="s">
        <v>63</v>
      </c>
      <c r="AW389" t="s">
        <v>60</v>
      </c>
      <c r="AX389" t="s">
        <v>60</v>
      </c>
      <c r="AY389">
        <v>5</v>
      </c>
      <c r="AZ389" t="s">
        <v>64</v>
      </c>
      <c r="BA389">
        <v>6</v>
      </c>
      <c r="BB389">
        <v>7</v>
      </c>
      <c r="BC389" t="s">
        <v>76</v>
      </c>
    </row>
    <row r="390" spans="1:55" x14ac:dyDescent="0.2">
      <c r="A390" t="s">
        <v>18</v>
      </c>
      <c r="B390" t="s">
        <v>6</v>
      </c>
      <c r="C390" s="3">
        <v>7.5</v>
      </c>
      <c r="D390" s="3">
        <v>3.5</v>
      </c>
      <c r="E390" s="3">
        <v>6</v>
      </c>
      <c r="F390" s="3">
        <v>2</v>
      </c>
      <c r="G390" s="3" t="e">
        <v>#N/A</v>
      </c>
      <c r="H390">
        <v>0.5</v>
      </c>
      <c r="I390">
        <v>0.5</v>
      </c>
      <c r="J390">
        <v>0.5</v>
      </c>
      <c r="K390">
        <v>0.75</v>
      </c>
      <c r="L390">
        <v>1</v>
      </c>
      <c r="M390">
        <v>0.75</v>
      </c>
      <c r="N390">
        <v>0.25</v>
      </c>
      <c r="O390">
        <v>0</v>
      </c>
      <c r="P390">
        <v>1</v>
      </c>
      <c r="Q390">
        <v>0</v>
      </c>
      <c r="R390">
        <v>0.25</v>
      </c>
      <c r="S390">
        <v>0</v>
      </c>
      <c r="T390">
        <f t="shared" si="46"/>
        <v>7.5</v>
      </c>
      <c r="U390">
        <f t="shared" si="47"/>
        <v>3.5</v>
      </c>
      <c r="V390">
        <f t="shared" si="48"/>
        <v>6</v>
      </c>
      <c r="W390">
        <f t="shared" si="49"/>
        <v>2</v>
      </c>
      <c r="X390" t="e">
        <f t="shared" si="45"/>
        <v>#N/A</v>
      </c>
      <c r="Y390" t="str">
        <f>+VLOOKUP(A390,'[1]Tárgy kurzusai'!$A:$C,3,0)</f>
        <v>SZE:08:00-09:30(E.3.309)</v>
      </c>
      <c r="Z390">
        <f>+VLOOKUP(A390,'[1]Tárgy kurzusai'!$A:$F,6,0)</f>
        <v>5</v>
      </c>
      <c r="AA390" t="s">
        <v>49</v>
      </c>
      <c r="AB390" t="s">
        <v>50</v>
      </c>
      <c r="AC390" t="s">
        <v>74</v>
      </c>
      <c r="AD390" t="s">
        <v>60</v>
      </c>
      <c r="AE390" t="s">
        <v>69</v>
      </c>
      <c r="AF390" t="s">
        <v>69</v>
      </c>
      <c r="AG390" t="s">
        <v>55</v>
      </c>
      <c r="AH390" t="s">
        <v>55</v>
      </c>
      <c r="AI390" t="s">
        <v>55</v>
      </c>
      <c r="AJ390" t="s">
        <v>57</v>
      </c>
      <c r="AK390" t="s">
        <v>79</v>
      </c>
      <c r="AL390" t="s">
        <v>96</v>
      </c>
      <c r="AM390">
        <v>0</v>
      </c>
      <c r="AN390">
        <v>7</v>
      </c>
      <c r="AO390">
        <v>39</v>
      </c>
      <c r="AP390">
        <v>7</v>
      </c>
      <c r="AQ390">
        <v>5</v>
      </c>
      <c r="AR390" t="s">
        <v>55</v>
      </c>
      <c r="AS390" t="s">
        <v>61</v>
      </c>
      <c r="AT390" t="s">
        <v>56</v>
      </c>
      <c r="AU390" t="s">
        <v>62</v>
      </c>
      <c r="AV390" t="s">
        <v>97</v>
      </c>
      <c r="AW390" t="s">
        <v>98</v>
      </c>
      <c r="AX390" t="s">
        <v>60</v>
      </c>
      <c r="AY390">
        <v>1</v>
      </c>
      <c r="AZ390" t="s">
        <v>114</v>
      </c>
      <c r="BA390">
        <v>4</v>
      </c>
      <c r="BB390">
        <v>8</v>
      </c>
      <c r="BC390" t="s">
        <v>70</v>
      </c>
    </row>
    <row r="391" spans="1:55" x14ac:dyDescent="0.2">
      <c r="A391" t="s">
        <v>18</v>
      </c>
      <c r="B391" t="s">
        <v>6</v>
      </c>
      <c r="C391" s="3">
        <v>14</v>
      </c>
      <c r="D391" s="3">
        <v>7</v>
      </c>
      <c r="E391" s="3">
        <v>15</v>
      </c>
      <c r="F391" s="3">
        <v>14.5</v>
      </c>
      <c r="G391" s="3">
        <v>-4.5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0.5</v>
      </c>
      <c r="R391">
        <v>1</v>
      </c>
      <c r="S391">
        <v>1</v>
      </c>
      <c r="T391">
        <f t="shared" si="46"/>
        <v>14</v>
      </c>
      <c r="U391">
        <f t="shared" si="47"/>
        <v>7</v>
      </c>
      <c r="V391">
        <f t="shared" si="48"/>
        <v>15</v>
      </c>
      <c r="W391">
        <f t="shared" si="49"/>
        <v>14.5</v>
      </c>
      <c r="X391">
        <f t="shared" si="45"/>
        <v>35.5</v>
      </c>
      <c r="Y391" t="str">
        <f>+VLOOKUP(A391,'[1]Tárgy kurzusai'!$A:$C,3,0)</f>
        <v>SZE:08:00-09:30(E.3.309)</v>
      </c>
      <c r="Z391">
        <f>+VLOOKUP(A391,'[1]Tárgy kurzusai'!$A:$F,6,0)</f>
        <v>5</v>
      </c>
      <c r="AA391" t="s">
        <v>66</v>
      </c>
      <c r="AB391" t="s">
        <v>71</v>
      </c>
      <c r="AC391" t="s">
        <v>72</v>
      </c>
      <c r="AD391" t="s">
        <v>92</v>
      </c>
      <c r="AE391" t="s">
        <v>69</v>
      </c>
      <c r="AF391" t="s">
        <v>69</v>
      </c>
      <c r="AG391" t="s">
        <v>55</v>
      </c>
      <c r="AH391" t="s">
        <v>55</v>
      </c>
      <c r="AI391" t="s">
        <v>55</v>
      </c>
      <c r="AJ391" t="s">
        <v>57</v>
      </c>
      <c r="AK391" t="s">
        <v>58</v>
      </c>
      <c r="AL391" t="s">
        <v>59</v>
      </c>
      <c r="AM391" t="s">
        <v>60</v>
      </c>
      <c r="AN391">
        <v>8</v>
      </c>
      <c r="AO391">
        <v>39</v>
      </c>
      <c r="AP391">
        <v>5</v>
      </c>
      <c r="AQ391">
        <v>13</v>
      </c>
      <c r="AR391" t="s">
        <v>55</v>
      </c>
      <c r="AS391" t="s">
        <v>55</v>
      </c>
      <c r="AT391" t="s">
        <v>56</v>
      </c>
      <c r="AU391" t="s">
        <v>62</v>
      </c>
      <c r="AV391" t="s">
        <v>63</v>
      </c>
      <c r="AW391" t="s">
        <v>60</v>
      </c>
      <c r="AX391" t="s">
        <v>60</v>
      </c>
      <c r="AY391">
        <v>4</v>
      </c>
      <c r="AZ391" t="s">
        <v>64</v>
      </c>
      <c r="BA391">
        <v>4</v>
      </c>
      <c r="BB391">
        <v>6</v>
      </c>
      <c r="BC391" t="s">
        <v>76</v>
      </c>
    </row>
    <row r="392" spans="1:55" x14ac:dyDescent="0.2">
      <c r="A392" t="s">
        <v>18</v>
      </c>
      <c r="B392" t="s">
        <v>6</v>
      </c>
      <c r="C392" s="3">
        <v>14</v>
      </c>
      <c r="D392" s="3">
        <v>10.5</v>
      </c>
      <c r="E392" s="3">
        <v>11</v>
      </c>
      <c r="F392" s="3">
        <v>4.5</v>
      </c>
      <c r="G392" s="3">
        <v>-16.5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0.5</v>
      </c>
      <c r="R392">
        <v>1</v>
      </c>
      <c r="S392">
        <v>1</v>
      </c>
      <c r="T392">
        <f t="shared" si="46"/>
        <v>14</v>
      </c>
      <c r="U392">
        <f t="shared" si="47"/>
        <v>10.5</v>
      </c>
      <c r="V392">
        <f t="shared" si="48"/>
        <v>11</v>
      </c>
      <c r="W392">
        <f t="shared" si="49"/>
        <v>4.5</v>
      </c>
      <c r="X392">
        <f t="shared" si="45"/>
        <v>23.5</v>
      </c>
      <c r="Y392" t="str">
        <f>+VLOOKUP(A392,'[1]Tárgy kurzusai'!$A:$C,3,0)</f>
        <v>SZE:08:00-09:30(E.3.309)</v>
      </c>
      <c r="Z392">
        <f>+VLOOKUP(A392,'[1]Tárgy kurzusai'!$A:$F,6,0)</f>
        <v>5</v>
      </c>
      <c r="AA392" t="s">
        <v>66</v>
      </c>
      <c r="AB392" t="s">
        <v>71</v>
      </c>
      <c r="AC392" t="s">
        <v>51</v>
      </c>
      <c r="AD392" t="s">
        <v>93</v>
      </c>
      <c r="AE392" t="s">
        <v>69</v>
      </c>
      <c r="AF392" t="s">
        <v>69</v>
      </c>
      <c r="AG392" t="s">
        <v>55</v>
      </c>
      <c r="AH392" t="s">
        <v>55</v>
      </c>
      <c r="AI392" t="s">
        <v>55</v>
      </c>
      <c r="AJ392" t="s">
        <v>57</v>
      </c>
      <c r="AK392" t="s">
        <v>58</v>
      </c>
      <c r="AL392" t="s">
        <v>59</v>
      </c>
      <c r="AM392" t="s">
        <v>60</v>
      </c>
      <c r="AN392">
        <v>8</v>
      </c>
      <c r="AO392">
        <v>40</v>
      </c>
      <c r="AP392">
        <v>5</v>
      </c>
      <c r="AQ392">
        <v>7</v>
      </c>
      <c r="AR392" t="s">
        <v>55</v>
      </c>
      <c r="AS392" t="s">
        <v>61</v>
      </c>
      <c r="AT392" t="s">
        <v>55</v>
      </c>
      <c r="AU392" t="s">
        <v>62</v>
      </c>
      <c r="AV392" t="s">
        <v>63</v>
      </c>
      <c r="AW392" t="s">
        <v>60</v>
      </c>
      <c r="AX392" t="s">
        <v>60</v>
      </c>
      <c r="AY392">
        <v>4</v>
      </c>
      <c r="AZ392" t="s">
        <v>78</v>
      </c>
      <c r="BA392">
        <v>8</v>
      </c>
      <c r="BB392">
        <v>6</v>
      </c>
      <c r="BC392" t="s">
        <v>70</v>
      </c>
    </row>
    <row r="393" spans="1:55" x14ac:dyDescent="0.2">
      <c r="A393" t="s">
        <v>18</v>
      </c>
      <c r="B393" t="s">
        <v>6</v>
      </c>
      <c r="C393" s="3">
        <v>0</v>
      </c>
      <c r="D393" s="3">
        <v>7.5</v>
      </c>
      <c r="E393" s="3">
        <v>4.5</v>
      </c>
      <c r="F393" s="3">
        <v>0</v>
      </c>
      <c r="G393" s="3">
        <v>0</v>
      </c>
      <c r="H393">
        <v>1</v>
      </c>
      <c r="I393">
        <v>1</v>
      </c>
      <c r="J393">
        <v>0.25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0.75</v>
      </c>
      <c r="R393">
        <v>1</v>
      </c>
      <c r="S393">
        <v>1</v>
      </c>
      <c r="T393">
        <f t="shared" si="46"/>
        <v>0</v>
      </c>
      <c r="U393">
        <f t="shared" si="47"/>
        <v>7.5</v>
      </c>
      <c r="V393">
        <f t="shared" si="48"/>
        <v>4.5</v>
      </c>
      <c r="W393">
        <f t="shared" si="49"/>
        <v>0</v>
      </c>
      <c r="X393">
        <f t="shared" si="45"/>
        <v>40</v>
      </c>
      <c r="Y393" t="str">
        <f>+VLOOKUP(A393,'[1]Tárgy kurzusai'!$A:$C,3,0)</f>
        <v>SZE:08:00-09:30(E.3.309)</v>
      </c>
      <c r="Z393">
        <f>+VLOOKUP(A393,'[1]Tárgy kurzusai'!$A:$F,6,0)</f>
        <v>5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</row>
    <row r="394" spans="1:55" x14ac:dyDescent="0.2">
      <c r="A394" t="s">
        <v>18</v>
      </c>
      <c r="B394" t="s">
        <v>6</v>
      </c>
      <c r="C394" s="3">
        <v>12</v>
      </c>
      <c r="D394" s="3">
        <v>2.5</v>
      </c>
      <c r="E394" s="3">
        <v>12</v>
      </c>
      <c r="F394" s="3">
        <v>7.5</v>
      </c>
      <c r="G394" s="3">
        <v>-15</v>
      </c>
      <c r="H394">
        <v>1</v>
      </c>
      <c r="I394">
        <v>0.75</v>
      </c>
      <c r="J394">
        <v>1</v>
      </c>
      <c r="K394">
        <v>1</v>
      </c>
      <c r="L394">
        <v>0</v>
      </c>
      <c r="M394">
        <v>0.75</v>
      </c>
      <c r="N394">
        <v>0.75</v>
      </c>
      <c r="O394">
        <v>1</v>
      </c>
      <c r="P394">
        <v>1</v>
      </c>
      <c r="Q394">
        <v>0</v>
      </c>
      <c r="R394">
        <v>0.75</v>
      </c>
      <c r="S394">
        <v>1</v>
      </c>
      <c r="T394">
        <f t="shared" si="46"/>
        <v>12</v>
      </c>
      <c r="U394">
        <f t="shared" si="47"/>
        <v>2.5</v>
      </c>
      <c r="V394">
        <f t="shared" si="48"/>
        <v>12</v>
      </c>
      <c r="W394">
        <f t="shared" si="49"/>
        <v>7.5</v>
      </c>
      <c r="X394">
        <f t="shared" si="45"/>
        <v>25</v>
      </c>
      <c r="Y394" t="str">
        <f>+VLOOKUP(A394,'[1]Tárgy kurzusai'!$A:$C,3,0)</f>
        <v>SZE:08:00-09:30(E.3.309)</v>
      </c>
      <c r="Z394">
        <f>+VLOOKUP(A394,'[1]Tárgy kurzusai'!$A:$F,6,0)</f>
        <v>5</v>
      </c>
      <c r="AA394" t="s">
        <v>66</v>
      </c>
      <c r="AB394" t="s">
        <v>67</v>
      </c>
      <c r="AC394" t="s">
        <v>75</v>
      </c>
      <c r="AD394" t="s">
        <v>68</v>
      </c>
      <c r="AE394" t="s">
        <v>69</v>
      </c>
      <c r="AF394" t="s">
        <v>69</v>
      </c>
      <c r="AG394" t="s">
        <v>55</v>
      </c>
      <c r="AH394" t="s">
        <v>55</v>
      </c>
      <c r="AI394" t="s">
        <v>56</v>
      </c>
      <c r="AJ394" t="s">
        <v>57</v>
      </c>
      <c r="AK394" t="s">
        <v>79</v>
      </c>
      <c r="AL394" t="s">
        <v>96</v>
      </c>
      <c r="AM394">
        <v>0</v>
      </c>
      <c r="AN394">
        <v>8</v>
      </c>
      <c r="AO394">
        <v>39</v>
      </c>
      <c r="AP394">
        <v>6</v>
      </c>
      <c r="AQ394">
        <v>14</v>
      </c>
      <c r="AR394" t="s">
        <v>55</v>
      </c>
      <c r="AS394" t="s">
        <v>55</v>
      </c>
      <c r="AT394" t="s">
        <v>56</v>
      </c>
      <c r="AU394" t="s">
        <v>62</v>
      </c>
      <c r="AV394" t="s">
        <v>97</v>
      </c>
      <c r="AW394" t="s">
        <v>98</v>
      </c>
      <c r="AX394" t="s">
        <v>60</v>
      </c>
      <c r="AY394">
        <v>4</v>
      </c>
      <c r="AZ394" t="s">
        <v>64</v>
      </c>
      <c r="BA394">
        <v>7</v>
      </c>
      <c r="BB394">
        <v>7</v>
      </c>
      <c r="BC394" t="s">
        <v>70</v>
      </c>
    </row>
    <row r="395" spans="1:55" x14ac:dyDescent="0.2">
      <c r="A395" t="s">
        <v>18</v>
      </c>
      <c r="B395" t="s">
        <v>6</v>
      </c>
      <c r="C395" s="3">
        <v>8</v>
      </c>
      <c r="D395" s="3">
        <v>6.5</v>
      </c>
      <c r="E395" s="3">
        <v>7.5</v>
      </c>
      <c r="F395" s="3">
        <v>9</v>
      </c>
      <c r="G395" s="3">
        <v>-15.5</v>
      </c>
      <c r="H395">
        <v>1</v>
      </c>
      <c r="I395">
        <v>1</v>
      </c>
      <c r="J395">
        <v>1</v>
      </c>
      <c r="K395">
        <v>1</v>
      </c>
      <c r="L395">
        <v>0.5</v>
      </c>
      <c r="M395">
        <v>0.75</v>
      </c>
      <c r="N395">
        <v>1</v>
      </c>
      <c r="O395">
        <v>0.67</v>
      </c>
      <c r="P395">
        <v>1</v>
      </c>
      <c r="Q395">
        <v>1</v>
      </c>
      <c r="R395">
        <v>1</v>
      </c>
      <c r="S395">
        <v>1</v>
      </c>
      <c r="T395">
        <f t="shared" si="46"/>
        <v>8</v>
      </c>
      <c r="U395">
        <f t="shared" si="47"/>
        <v>6.5</v>
      </c>
      <c r="V395">
        <f t="shared" si="48"/>
        <v>7.5</v>
      </c>
      <c r="W395">
        <f t="shared" si="49"/>
        <v>9</v>
      </c>
      <c r="X395">
        <f t="shared" si="45"/>
        <v>24.5</v>
      </c>
      <c r="Y395" t="str">
        <f>+VLOOKUP(A395,'[1]Tárgy kurzusai'!$A:$C,3,0)</f>
        <v>SZE:08:00-09:30(E.3.309)</v>
      </c>
      <c r="Z395">
        <f>+VLOOKUP(A395,'[1]Tárgy kurzusai'!$A:$F,6,0)</f>
        <v>5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</row>
    <row r="396" spans="1:55" x14ac:dyDescent="0.2">
      <c r="A396" t="s">
        <v>18</v>
      </c>
      <c r="B396" t="s">
        <v>6</v>
      </c>
      <c r="C396" s="3">
        <v>12</v>
      </c>
      <c r="D396" s="3">
        <v>7</v>
      </c>
      <c r="E396" s="3">
        <v>10</v>
      </c>
      <c r="F396" s="3">
        <v>8</v>
      </c>
      <c r="G396" s="3">
        <v>-9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0.75</v>
      </c>
      <c r="R396">
        <v>1</v>
      </c>
      <c r="S396">
        <v>1</v>
      </c>
      <c r="T396">
        <f t="shared" si="46"/>
        <v>12</v>
      </c>
      <c r="U396">
        <f t="shared" si="47"/>
        <v>7</v>
      </c>
      <c r="V396">
        <f t="shared" si="48"/>
        <v>10</v>
      </c>
      <c r="W396">
        <f t="shared" si="49"/>
        <v>8</v>
      </c>
      <c r="X396">
        <f t="shared" si="45"/>
        <v>31</v>
      </c>
      <c r="Y396" t="str">
        <f>+VLOOKUP(A396,'[1]Tárgy kurzusai'!$A:$C,3,0)</f>
        <v>SZE:08:00-09:30(E.3.309)</v>
      </c>
      <c r="Z396">
        <f>+VLOOKUP(A396,'[1]Tárgy kurzusai'!$A:$F,6,0)</f>
        <v>5</v>
      </c>
      <c r="AA396" t="s">
        <v>66</v>
      </c>
      <c r="AB396" t="s">
        <v>80</v>
      </c>
      <c r="AC396" t="s">
        <v>74</v>
      </c>
      <c r="AD396" t="s">
        <v>60</v>
      </c>
      <c r="AE396" t="s">
        <v>69</v>
      </c>
      <c r="AF396" t="s">
        <v>69</v>
      </c>
      <c r="AG396" t="s">
        <v>55</v>
      </c>
      <c r="AH396" t="s">
        <v>55</v>
      </c>
      <c r="AI396" t="s">
        <v>55</v>
      </c>
      <c r="AJ396" t="s">
        <v>57</v>
      </c>
      <c r="AK396" t="s">
        <v>58</v>
      </c>
      <c r="AL396" t="s">
        <v>59</v>
      </c>
      <c r="AM396" t="s">
        <v>60</v>
      </c>
      <c r="AN396">
        <v>7</v>
      </c>
      <c r="AO396">
        <v>34</v>
      </c>
      <c r="AP396">
        <v>5</v>
      </c>
      <c r="AQ396">
        <v>12</v>
      </c>
      <c r="AR396" t="s">
        <v>55</v>
      </c>
      <c r="AS396" t="s">
        <v>55</v>
      </c>
      <c r="AT396" t="s">
        <v>56</v>
      </c>
      <c r="AU396" t="s">
        <v>62</v>
      </c>
      <c r="AV396" t="s">
        <v>63</v>
      </c>
      <c r="AW396" t="s">
        <v>60</v>
      </c>
      <c r="AX396" t="s">
        <v>60</v>
      </c>
      <c r="AY396">
        <v>4</v>
      </c>
      <c r="AZ396" t="s">
        <v>64</v>
      </c>
      <c r="BA396">
        <v>6</v>
      </c>
      <c r="BB396">
        <v>9</v>
      </c>
      <c r="BC396" t="s">
        <v>70</v>
      </c>
    </row>
    <row r="397" spans="1:55" x14ac:dyDescent="0.2">
      <c r="A397" t="s">
        <v>18</v>
      </c>
      <c r="B397" t="s">
        <v>6</v>
      </c>
      <c r="C397" s="3">
        <v>9</v>
      </c>
      <c r="D397" s="3">
        <v>1.5</v>
      </c>
      <c r="E397" s="3">
        <v>0</v>
      </c>
      <c r="F397" s="3">
        <v>0</v>
      </c>
      <c r="G397" s="3">
        <v>0</v>
      </c>
      <c r="H397">
        <v>0.75</v>
      </c>
      <c r="I397">
        <v>0.75</v>
      </c>
      <c r="J397">
        <v>1</v>
      </c>
      <c r="K397">
        <v>1</v>
      </c>
      <c r="L397">
        <v>1</v>
      </c>
      <c r="M397">
        <v>0.75</v>
      </c>
      <c r="N397">
        <v>0</v>
      </c>
      <c r="O397">
        <v>1</v>
      </c>
      <c r="P397">
        <v>1</v>
      </c>
      <c r="Q397">
        <v>0.25</v>
      </c>
      <c r="R397">
        <v>1</v>
      </c>
      <c r="S397">
        <v>1</v>
      </c>
      <c r="T397">
        <f t="shared" si="46"/>
        <v>9</v>
      </c>
      <c r="U397">
        <f t="shared" si="47"/>
        <v>1.5</v>
      </c>
      <c r="V397">
        <f t="shared" si="48"/>
        <v>0</v>
      </c>
      <c r="W397">
        <f t="shared" si="49"/>
        <v>0</v>
      </c>
      <c r="X397">
        <f t="shared" si="45"/>
        <v>40</v>
      </c>
      <c r="Y397" t="str">
        <f>+VLOOKUP(A397,'[1]Tárgy kurzusai'!$A:$C,3,0)</f>
        <v>SZE:08:00-09:30(E.3.309)</v>
      </c>
      <c r="Z397">
        <f>+VLOOKUP(A397,'[1]Tárgy kurzusai'!$A:$F,6,0)</f>
        <v>5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</row>
    <row r="398" spans="1:55" x14ac:dyDescent="0.2">
      <c r="A398" t="s">
        <v>18</v>
      </c>
      <c r="B398" t="s">
        <v>6</v>
      </c>
      <c r="C398" s="3">
        <v>13</v>
      </c>
      <c r="D398" s="3">
        <v>11.5</v>
      </c>
      <c r="E398" s="3">
        <v>11</v>
      </c>
      <c r="F398" s="3">
        <v>12</v>
      </c>
      <c r="G398" s="3">
        <v>-12</v>
      </c>
      <c r="H398">
        <v>0.75</v>
      </c>
      <c r="I398">
        <v>1</v>
      </c>
      <c r="J398">
        <v>1</v>
      </c>
      <c r="K398">
        <v>1</v>
      </c>
      <c r="L398">
        <v>1</v>
      </c>
      <c r="M398">
        <v>0.5</v>
      </c>
      <c r="N398">
        <v>1</v>
      </c>
      <c r="O398">
        <v>1</v>
      </c>
      <c r="P398">
        <v>1</v>
      </c>
      <c r="Q398">
        <v>0.75</v>
      </c>
      <c r="R398">
        <v>1</v>
      </c>
      <c r="S398">
        <v>1</v>
      </c>
      <c r="T398">
        <f t="shared" si="46"/>
        <v>13</v>
      </c>
      <c r="U398">
        <f t="shared" si="47"/>
        <v>11.5</v>
      </c>
      <c r="V398">
        <f t="shared" si="48"/>
        <v>11</v>
      </c>
      <c r="W398">
        <f t="shared" si="49"/>
        <v>12</v>
      </c>
      <c r="X398">
        <f t="shared" si="45"/>
        <v>28</v>
      </c>
      <c r="Y398" t="str">
        <f>+VLOOKUP(A398,'[1]Tárgy kurzusai'!$A:$C,3,0)</f>
        <v>SZE:08:00-09:30(E.3.309)</v>
      </c>
      <c r="Z398">
        <f>+VLOOKUP(A398,'[1]Tárgy kurzusai'!$A:$F,6,0)</f>
        <v>5</v>
      </c>
      <c r="AA398" t="s">
        <v>49</v>
      </c>
      <c r="AB398" t="s">
        <v>71</v>
      </c>
      <c r="AC398" t="s">
        <v>74</v>
      </c>
      <c r="AD398" t="s">
        <v>60</v>
      </c>
      <c r="AE398" t="s">
        <v>69</v>
      </c>
      <c r="AF398" t="s">
        <v>69</v>
      </c>
      <c r="AG398" t="s">
        <v>55</v>
      </c>
      <c r="AH398" t="s">
        <v>55</v>
      </c>
      <c r="AI398" t="s">
        <v>56</v>
      </c>
      <c r="AJ398" t="s">
        <v>57</v>
      </c>
      <c r="AK398" t="s">
        <v>58</v>
      </c>
      <c r="AL398" t="s">
        <v>59</v>
      </c>
      <c r="AM398" t="s">
        <v>60</v>
      </c>
      <c r="AN398">
        <v>7</v>
      </c>
      <c r="AO398">
        <v>36</v>
      </c>
      <c r="AP398">
        <v>6</v>
      </c>
      <c r="AQ398">
        <v>13</v>
      </c>
      <c r="AR398" t="s">
        <v>55</v>
      </c>
      <c r="AS398" t="s">
        <v>55</v>
      </c>
      <c r="AT398" t="s">
        <v>56</v>
      </c>
      <c r="AU398" t="s">
        <v>62</v>
      </c>
      <c r="AV398" t="s">
        <v>63</v>
      </c>
      <c r="AW398" t="s">
        <v>60</v>
      </c>
      <c r="AX398" t="s">
        <v>60</v>
      </c>
      <c r="AY398">
        <v>5</v>
      </c>
      <c r="AZ398" t="s">
        <v>64</v>
      </c>
      <c r="BA398">
        <v>5</v>
      </c>
      <c r="BB398" t="s">
        <v>60</v>
      </c>
      <c r="BC398" t="s">
        <v>65</v>
      </c>
    </row>
    <row r="399" spans="1:55" x14ac:dyDescent="0.2">
      <c r="A399" t="s">
        <v>18</v>
      </c>
      <c r="B399" t="s">
        <v>6</v>
      </c>
      <c r="C399" s="3">
        <v>11.5</v>
      </c>
      <c r="D399" s="3">
        <v>12.5</v>
      </c>
      <c r="E399" s="3">
        <v>11</v>
      </c>
      <c r="F399" s="3">
        <v>5.5</v>
      </c>
      <c r="G399" s="3">
        <v>-18</v>
      </c>
      <c r="H399">
        <v>0.75</v>
      </c>
      <c r="I399">
        <v>1</v>
      </c>
      <c r="J399">
        <v>1</v>
      </c>
      <c r="K399">
        <v>1</v>
      </c>
      <c r="L399">
        <v>0.5</v>
      </c>
      <c r="M399">
        <v>1</v>
      </c>
      <c r="N399">
        <v>1</v>
      </c>
      <c r="O399">
        <v>1</v>
      </c>
      <c r="P399">
        <v>1</v>
      </c>
      <c r="Q399">
        <v>0.75</v>
      </c>
      <c r="R399">
        <v>1</v>
      </c>
      <c r="S399">
        <v>1</v>
      </c>
      <c r="T399">
        <f t="shared" si="46"/>
        <v>11.5</v>
      </c>
      <c r="U399">
        <f t="shared" si="47"/>
        <v>12.5</v>
      </c>
      <c r="V399">
        <f t="shared" si="48"/>
        <v>11</v>
      </c>
      <c r="W399">
        <f t="shared" si="49"/>
        <v>5.5</v>
      </c>
      <c r="X399">
        <f t="shared" si="45"/>
        <v>22</v>
      </c>
      <c r="Y399" t="str">
        <f>+VLOOKUP(A399,'[1]Tárgy kurzusai'!$A:$C,3,0)</f>
        <v>SZE:08:00-09:30(E.3.309)</v>
      </c>
      <c r="Z399">
        <f>+VLOOKUP(A399,'[1]Tárgy kurzusai'!$A:$F,6,0)</f>
        <v>5</v>
      </c>
      <c r="AA399" t="s">
        <v>66</v>
      </c>
      <c r="AB399" t="s">
        <v>115</v>
      </c>
      <c r="AC399" t="s">
        <v>107</v>
      </c>
      <c r="AD399" t="s">
        <v>88</v>
      </c>
      <c r="AE399" t="s">
        <v>69</v>
      </c>
      <c r="AF399" t="s">
        <v>69</v>
      </c>
      <c r="AG399" t="s">
        <v>56</v>
      </c>
      <c r="AH399" t="s">
        <v>55</v>
      </c>
      <c r="AI399" t="s">
        <v>55</v>
      </c>
      <c r="AJ399" t="s">
        <v>57</v>
      </c>
      <c r="AK399" t="s">
        <v>58</v>
      </c>
      <c r="AL399" t="s">
        <v>59</v>
      </c>
      <c r="AM399" t="s">
        <v>60</v>
      </c>
      <c r="AN399">
        <v>6</v>
      </c>
      <c r="AO399">
        <v>34</v>
      </c>
      <c r="AP399">
        <v>5</v>
      </c>
      <c r="AQ399">
        <v>4</v>
      </c>
      <c r="AR399" t="s">
        <v>55</v>
      </c>
      <c r="AS399" t="s">
        <v>61</v>
      </c>
      <c r="AT399" t="s">
        <v>56</v>
      </c>
      <c r="AU399" t="s">
        <v>62</v>
      </c>
      <c r="AV399" t="s">
        <v>63</v>
      </c>
      <c r="AW399" t="s">
        <v>60</v>
      </c>
      <c r="AX399" t="s">
        <v>60</v>
      </c>
      <c r="AY399">
        <v>5</v>
      </c>
      <c r="AZ399" t="s">
        <v>64</v>
      </c>
      <c r="BA399">
        <v>8</v>
      </c>
      <c r="BB399">
        <v>6</v>
      </c>
      <c r="BC399" t="s">
        <v>76</v>
      </c>
    </row>
    <row r="400" spans="1:55" x14ac:dyDescent="0.2">
      <c r="A400" t="s">
        <v>18</v>
      </c>
      <c r="B400" t="s">
        <v>6</v>
      </c>
      <c r="C400" s="3">
        <v>11</v>
      </c>
      <c r="D400" s="3">
        <v>0.5</v>
      </c>
      <c r="E400" s="3">
        <v>8.5</v>
      </c>
      <c r="F400" s="3">
        <v>2</v>
      </c>
      <c r="G400" s="3">
        <v>0</v>
      </c>
      <c r="H400">
        <v>1</v>
      </c>
      <c r="I400">
        <v>1</v>
      </c>
      <c r="J400">
        <v>1</v>
      </c>
      <c r="K400">
        <v>0.75</v>
      </c>
      <c r="L400">
        <v>1</v>
      </c>
      <c r="M400">
        <v>1</v>
      </c>
      <c r="N400">
        <v>0.75</v>
      </c>
      <c r="O400">
        <v>0.5</v>
      </c>
      <c r="P400">
        <v>1</v>
      </c>
      <c r="Q400">
        <v>0</v>
      </c>
      <c r="R400">
        <v>1</v>
      </c>
      <c r="S400">
        <v>1</v>
      </c>
      <c r="T400">
        <f t="shared" si="46"/>
        <v>11</v>
      </c>
      <c r="U400">
        <f t="shared" si="47"/>
        <v>0.5</v>
      </c>
      <c r="V400">
        <f t="shared" si="48"/>
        <v>8.5</v>
      </c>
      <c r="W400">
        <f t="shared" si="49"/>
        <v>2</v>
      </c>
      <c r="X400">
        <f t="shared" si="45"/>
        <v>40</v>
      </c>
      <c r="Y400" t="str">
        <f>+VLOOKUP(A400,'[1]Tárgy kurzusai'!$A:$C,3,0)</f>
        <v>SZE:08:00-09:30(E.3.309)</v>
      </c>
      <c r="Z400">
        <f>+VLOOKUP(A400,'[1]Tárgy kurzusai'!$A:$F,6,0)</f>
        <v>5</v>
      </c>
      <c r="AA400" t="s">
        <v>66</v>
      </c>
      <c r="AB400" t="s">
        <v>71</v>
      </c>
      <c r="AC400" t="s">
        <v>51</v>
      </c>
      <c r="AD400" t="s">
        <v>68</v>
      </c>
      <c r="AE400" t="s">
        <v>69</v>
      </c>
      <c r="AF400" t="s">
        <v>54</v>
      </c>
      <c r="AG400" t="s">
        <v>55</v>
      </c>
      <c r="AH400" t="s">
        <v>55</v>
      </c>
      <c r="AI400" t="s">
        <v>55</v>
      </c>
      <c r="AJ400" t="s">
        <v>57</v>
      </c>
      <c r="AK400" t="s">
        <v>79</v>
      </c>
      <c r="AL400" t="s">
        <v>59</v>
      </c>
      <c r="AM400" t="s">
        <v>60</v>
      </c>
      <c r="AN400">
        <v>6</v>
      </c>
      <c r="AO400">
        <v>34</v>
      </c>
      <c r="AP400">
        <v>5</v>
      </c>
      <c r="AQ400">
        <v>11</v>
      </c>
      <c r="AR400" t="s">
        <v>55</v>
      </c>
      <c r="AS400" t="s">
        <v>61</v>
      </c>
      <c r="AT400" t="s">
        <v>56</v>
      </c>
      <c r="AU400" t="s">
        <v>62</v>
      </c>
      <c r="AV400" t="s">
        <v>63</v>
      </c>
      <c r="AW400" t="s">
        <v>60</v>
      </c>
      <c r="AX400" t="s">
        <v>60</v>
      </c>
      <c r="AY400">
        <v>4</v>
      </c>
      <c r="AZ400" t="s">
        <v>64</v>
      </c>
      <c r="BA400">
        <v>8</v>
      </c>
      <c r="BB400">
        <v>9</v>
      </c>
      <c r="BC400" t="s">
        <v>70</v>
      </c>
    </row>
    <row r="401" spans="1:55" x14ac:dyDescent="0.2">
      <c r="A401" t="s">
        <v>18</v>
      </c>
      <c r="B401" t="s">
        <v>6</v>
      </c>
      <c r="C401" s="3">
        <v>13</v>
      </c>
      <c r="D401" s="3">
        <v>10.5</v>
      </c>
      <c r="E401" s="3">
        <v>8.5</v>
      </c>
      <c r="F401" s="3">
        <v>11</v>
      </c>
      <c r="G401" s="3">
        <v>-9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0.75</v>
      </c>
      <c r="R401">
        <v>1</v>
      </c>
      <c r="S401">
        <v>1</v>
      </c>
      <c r="T401">
        <f t="shared" si="46"/>
        <v>13</v>
      </c>
      <c r="U401">
        <f t="shared" si="47"/>
        <v>10.5</v>
      </c>
      <c r="V401">
        <f t="shared" si="48"/>
        <v>8.5</v>
      </c>
      <c r="W401">
        <f t="shared" si="49"/>
        <v>11</v>
      </c>
      <c r="X401">
        <f t="shared" si="45"/>
        <v>31</v>
      </c>
      <c r="Y401" t="str">
        <f>+VLOOKUP(A401,'[1]Tárgy kurzusai'!$A:$C,3,0)</f>
        <v>SZE:08:00-09:30(E.3.309)</v>
      </c>
      <c r="Z401">
        <f>+VLOOKUP(A401,'[1]Tárgy kurzusai'!$A:$F,6,0)</f>
        <v>5</v>
      </c>
      <c r="AA401" t="s">
        <v>49</v>
      </c>
      <c r="AB401" t="s">
        <v>71</v>
      </c>
      <c r="AC401" t="s">
        <v>75</v>
      </c>
      <c r="AD401" t="s">
        <v>77</v>
      </c>
      <c r="AE401" t="s">
        <v>69</v>
      </c>
      <c r="AF401" t="s">
        <v>69</v>
      </c>
      <c r="AG401" t="s">
        <v>55</v>
      </c>
      <c r="AH401" t="s">
        <v>55</v>
      </c>
      <c r="AI401" t="s">
        <v>55</v>
      </c>
      <c r="AJ401" t="s">
        <v>57</v>
      </c>
      <c r="AK401" t="s">
        <v>58</v>
      </c>
      <c r="AL401" t="s">
        <v>59</v>
      </c>
      <c r="AM401" t="s">
        <v>60</v>
      </c>
      <c r="AN401">
        <v>8</v>
      </c>
      <c r="AO401">
        <v>36</v>
      </c>
      <c r="AP401">
        <v>5</v>
      </c>
      <c r="AQ401">
        <v>14</v>
      </c>
      <c r="AR401" t="s">
        <v>55</v>
      </c>
      <c r="AS401" t="s">
        <v>61</v>
      </c>
      <c r="AT401" t="s">
        <v>55</v>
      </c>
      <c r="AU401" t="s">
        <v>62</v>
      </c>
      <c r="AV401" t="s">
        <v>63</v>
      </c>
      <c r="AW401" t="s">
        <v>60</v>
      </c>
      <c r="AX401" t="s">
        <v>60</v>
      </c>
      <c r="AY401">
        <v>4</v>
      </c>
      <c r="AZ401" t="s">
        <v>64</v>
      </c>
      <c r="BA401">
        <v>9</v>
      </c>
      <c r="BB401">
        <v>5</v>
      </c>
      <c r="BC401" t="s">
        <v>65</v>
      </c>
    </row>
    <row r="402" spans="1:55" x14ac:dyDescent="0.2">
      <c r="A402" t="s">
        <v>18</v>
      </c>
      <c r="B402" t="s">
        <v>6</v>
      </c>
      <c r="C402" s="3">
        <v>9</v>
      </c>
      <c r="D402" s="3">
        <v>3</v>
      </c>
      <c r="E402" s="3">
        <v>3</v>
      </c>
      <c r="F402" s="3">
        <v>2</v>
      </c>
      <c r="G402" s="3">
        <v>-12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0.33</v>
      </c>
      <c r="P402">
        <v>1</v>
      </c>
      <c r="Q402">
        <v>0.5</v>
      </c>
      <c r="R402">
        <v>1</v>
      </c>
      <c r="S402">
        <v>1</v>
      </c>
      <c r="T402">
        <f t="shared" si="46"/>
        <v>9</v>
      </c>
      <c r="U402">
        <f t="shared" si="47"/>
        <v>3</v>
      </c>
      <c r="V402">
        <f t="shared" si="48"/>
        <v>3</v>
      </c>
      <c r="W402">
        <f t="shared" si="49"/>
        <v>2</v>
      </c>
      <c r="X402">
        <f t="shared" si="45"/>
        <v>28</v>
      </c>
      <c r="Y402" t="str">
        <f>+VLOOKUP(A402,'[1]Tárgy kurzusai'!$A:$C,3,0)</f>
        <v>SZE:08:00-09:30(E.3.309)</v>
      </c>
      <c r="Z402">
        <f>+VLOOKUP(A402,'[1]Tárgy kurzusai'!$A:$F,6,0)</f>
        <v>5</v>
      </c>
      <c r="AA402" t="s">
        <v>49</v>
      </c>
      <c r="AB402" t="s">
        <v>71</v>
      </c>
      <c r="AC402" t="s">
        <v>72</v>
      </c>
      <c r="AD402" t="s">
        <v>85</v>
      </c>
      <c r="AE402" t="s">
        <v>53</v>
      </c>
      <c r="AF402" t="s">
        <v>69</v>
      </c>
      <c r="AG402" t="s">
        <v>55</v>
      </c>
      <c r="AH402" t="s">
        <v>55</v>
      </c>
      <c r="AI402" t="s">
        <v>56</v>
      </c>
      <c r="AJ402" t="s">
        <v>57</v>
      </c>
      <c r="AK402" t="s">
        <v>79</v>
      </c>
      <c r="AL402" t="s">
        <v>59</v>
      </c>
      <c r="AM402" t="s">
        <v>60</v>
      </c>
      <c r="AN402">
        <v>13</v>
      </c>
      <c r="AO402">
        <v>37</v>
      </c>
      <c r="AP402">
        <v>9</v>
      </c>
      <c r="AQ402">
        <v>3</v>
      </c>
      <c r="AR402" t="s">
        <v>55</v>
      </c>
      <c r="AS402" t="s">
        <v>55</v>
      </c>
      <c r="AT402" t="s">
        <v>56</v>
      </c>
      <c r="AU402" t="s">
        <v>62</v>
      </c>
      <c r="AV402" t="s">
        <v>63</v>
      </c>
      <c r="AW402" t="s">
        <v>60</v>
      </c>
      <c r="AX402" t="s">
        <v>60</v>
      </c>
      <c r="AY402">
        <v>3</v>
      </c>
      <c r="AZ402" t="s">
        <v>64</v>
      </c>
      <c r="BA402">
        <v>10</v>
      </c>
      <c r="BB402">
        <v>10</v>
      </c>
      <c r="BC402" t="s">
        <v>70</v>
      </c>
    </row>
    <row r="403" spans="1:55" x14ac:dyDescent="0.2">
      <c r="A403" t="s">
        <v>18</v>
      </c>
      <c r="B403" t="s">
        <v>6</v>
      </c>
      <c r="C403" s="3">
        <v>13</v>
      </c>
      <c r="D403" s="3">
        <v>2.5</v>
      </c>
      <c r="E403" s="3">
        <v>8</v>
      </c>
      <c r="F403" s="3">
        <v>7</v>
      </c>
      <c r="G403" s="3">
        <v>-6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0.17</v>
      </c>
      <c r="P403">
        <v>1</v>
      </c>
      <c r="Q403">
        <v>0.5</v>
      </c>
      <c r="R403">
        <v>1</v>
      </c>
      <c r="S403">
        <v>1</v>
      </c>
      <c r="T403">
        <f t="shared" si="46"/>
        <v>13</v>
      </c>
      <c r="U403">
        <f t="shared" si="47"/>
        <v>2.5</v>
      </c>
      <c r="V403">
        <f t="shared" si="48"/>
        <v>8</v>
      </c>
      <c r="W403">
        <f t="shared" si="49"/>
        <v>7</v>
      </c>
      <c r="X403">
        <f t="shared" si="45"/>
        <v>34</v>
      </c>
      <c r="Y403" t="str">
        <f>+VLOOKUP(A403,'[1]Tárgy kurzusai'!$A:$C,3,0)</f>
        <v>SZE:08:00-09:30(E.3.309)</v>
      </c>
      <c r="Z403">
        <f>+VLOOKUP(A403,'[1]Tárgy kurzusai'!$A:$F,6,0)</f>
        <v>5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</row>
    <row r="404" spans="1:55" x14ac:dyDescent="0.2">
      <c r="A404" t="s">
        <v>19</v>
      </c>
      <c r="B404" s="3" t="s">
        <v>3</v>
      </c>
      <c r="C404" s="3">
        <v>-2.5</v>
      </c>
      <c r="D404" s="3">
        <v>-0.5</v>
      </c>
      <c r="E404" s="3">
        <v>-1</v>
      </c>
      <c r="F404" s="3">
        <v>-1</v>
      </c>
      <c r="G404" s="3">
        <v>-6</v>
      </c>
      <c r="H404">
        <v>0.75</v>
      </c>
      <c r="I404">
        <v>1</v>
      </c>
      <c r="J404">
        <v>0.75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f t="shared" ref="T404:T434" si="50">16+C404</f>
        <v>13.5</v>
      </c>
      <c r="U404">
        <f t="shared" ref="U404:U434" si="51">16+D404</f>
        <v>15.5</v>
      </c>
      <c r="V404">
        <f t="shared" ref="V404:V434" si="52">16+E404</f>
        <v>15</v>
      </c>
      <c r="W404">
        <f t="shared" ref="W404:W434" si="53">16+F404</f>
        <v>15</v>
      </c>
      <c r="X404">
        <f t="shared" ref="X404:X434" si="54">40+G404</f>
        <v>34</v>
      </c>
      <c r="Y404" t="str">
        <f>+VLOOKUP(A404,'[1]Tárgy kurzusai'!$A:$C,3,0)</f>
        <v>SZE:09:50-11:20(C 103)</v>
      </c>
      <c r="Z404">
        <f>+VLOOKUP(A404,'[1]Tárgy kurzusai'!$A:$F,6,0)</f>
        <v>5</v>
      </c>
      <c r="AA404" t="s">
        <v>49</v>
      </c>
      <c r="AB404" t="s">
        <v>71</v>
      </c>
      <c r="AC404" t="s">
        <v>72</v>
      </c>
      <c r="AD404" t="s">
        <v>93</v>
      </c>
      <c r="AE404" t="s">
        <v>69</v>
      </c>
      <c r="AF404" t="s">
        <v>53</v>
      </c>
      <c r="AG404" t="s">
        <v>56</v>
      </c>
      <c r="AH404" t="s">
        <v>55</v>
      </c>
      <c r="AI404" t="s">
        <v>56</v>
      </c>
      <c r="AJ404" t="s">
        <v>57</v>
      </c>
      <c r="AK404" t="s">
        <v>58</v>
      </c>
      <c r="AL404" t="s">
        <v>59</v>
      </c>
      <c r="AM404" t="s">
        <v>60</v>
      </c>
      <c r="AN404">
        <v>8</v>
      </c>
      <c r="AO404">
        <v>39</v>
      </c>
      <c r="AP404">
        <v>6</v>
      </c>
      <c r="AQ404">
        <v>15</v>
      </c>
      <c r="AR404" t="s">
        <v>55</v>
      </c>
      <c r="AS404" t="s">
        <v>55</v>
      </c>
      <c r="AT404" t="s">
        <v>56</v>
      </c>
      <c r="AU404" t="s">
        <v>62</v>
      </c>
      <c r="AV404" t="s">
        <v>63</v>
      </c>
      <c r="AW404" t="s">
        <v>60</v>
      </c>
      <c r="AX404" t="s">
        <v>60</v>
      </c>
      <c r="AY404">
        <v>4</v>
      </c>
      <c r="AZ404" t="s">
        <v>64</v>
      </c>
      <c r="BA404">
        <v>7</v>
      </c>
      <c r="BB404">
        <v>9</v>
      </c>
      <c r="BC404" t="s">
        <v>65</v>
      </c>
    </row>
    <row r="405" spans="1:55" x14ac:dyDescent="0.2">
      <c r="A405" t="s">
        <v>19</v>
      </c>
      <c r="B405" s="3" t="s">
        <v>3</v>
      </c>
      <c r="C405" s="3">
        <v>-3.5</v>
      </c>
      <c r="D405" s="3">
        <v>-7.5</v>
      </c>
      <c r="E405" s="3">
        <v>-7</v>
      </c>
      <c r="F405" s="3">
        <v>-5</v>
      </c>
      <c r="G405" s="3">
        <v>-15.5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0.75</v>
      </c>
      <c r="R405">
        <v>1</v>
      </c>
      <c r="S405">
        <v>1</v>
      </c>
      <c r="T405">
        <f t="shared" si="50"/>
        <v>12.5</v>
      </c>
      <c r="U405">
        <f t="shared" si="51"/>
        <v>8.5</v>
      </c>
      <c r="V405">
        <f t="shared" si="52"/>
        <v>9</v>
      </c>
      <c r="W405">
        <f t="shared" si="53"/>
        <v>11</v>
      </c>
      <c r="X405">
        <f t="shared" si="54"/>
        <v>24.5</v>
      </c>
      <c r="Y405" t="str">
        <f>+VLOOKUP(A405,'[1]Tárgy kurzusai'!$A:$C,3,0)</f>
        <v>SZE:09:50-11:20(C 103)</v>
      </c>
      <c r="Z405">
        <f>+VLOOKUP(A405,'[1]Tárgy kurzusai'!$A:$F,6,0)</f>
        <v>5</v>
      </c>
      <c r="AA405" t="s">
        <v>49</v>
      </c>
      <c r="AB405" t="s">
        <v>71</v>
      </c>
      <c r="AC405" t="s">
        <v>75</v>
      </c>
      <c r="AD405" t="s">
        <v>94</v>
      </c>
      <c r="AE405" t="s">
        <v>53</v>
      </c>
      <c r="AF405" t="s">
        <v>54</v>
      </c>
      <c r="AG405" t="s">
        <v>55</v>
      </c>
      <c r="AH405" t="s">
        <v>55</v>
      </c>
      <c r="AI405" t="s">
        <v>55</v>
      </c>
      <c r="AJ405" t="s">
        <v>57</v>
      </c>
      <c r="AK405" t="s">
        <v>79</v>
      </c>
      <c r="AL405" t="s">
        <v>96</v>
      </c>
      <c r="AM405">
        <v>0</v>
      </c>
      <c r="AN405">
        <v>8</v>
      </c>
      <c r="AO405">
        <v>39</v>
      </c>
      <c r="AP405">
        <v>8</v>
      </c>
      <c r="AQ405">
        <v>14</v>
      </c>
      <c r="AR405" t="s">
        <v>55</v>
      </c>
      <c r="AS405" t="s">
        <v>61</v>
      </c>
      <c r="AT405" t="s">
        <v>56</v>
      </c>
      <c r="AU405" t="s">
        <v>62</v>
      </c>
      <c r="AV405" t="s">
        <v>97</v>
      </c>
      <c r="AW405" t="s">
        <v>98</v>
      </c>
      <c r="AX405" t="s">
        <v>60</v>
      </c>
      <c r="AY405">
        <v>4</v>
      </c>
      <c r="AZ405" t="s">
        <v>78</v>
      </c>
      <c r="BA405">
        <v>6</v>
      </c>
      <c r="BB405">
        <v>6</v>
      </c>
      <c r="BC405" t="s">
        <v>70</v>
      </c>
    </row>
    <row r="406" spans="1:55" x14ac:dyDescent="0.2">
      <c r="A406" t="s">
        <v>19</v>
      </c>
      <c r="B406" s="3" t="s">
        <v>3</v>
      </c>
      <c r="C406" s="3">
        <v>-2</v>
      </c>
      <c r="D406" s="3">
        <v>-4.5</v>
      </c>
      <c r="E406" s="3">
        <v>0</v>
      </c>
      <c r="F406" s="3">
        <v>-8</v>
      </c>
      <c r="G406" s="3">
        <v>-9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0.75</v>
      </c>
      <c r="R406">
        <v>1</v>
      </c>
      <c r="S406">
        <v>1</v>
      </c>
      <c r="T406">
        <f t="shared" si="50"/>
        <v>14</v>
      </c>
      <c r="U406">
        <f t="shared" si="51"/>
        <v>11.5</v>
      </c>
      <c r="V406">
        <f t="shared" si="52"/>
        <v>16</v>
      </c>
      <c r="W406">
        <f t="shared" si="53"/>
        <v>8</v>
      </c>
      <c r="X406">
        <f t="shared" si="54"/>
        <v>31</v>
      </c>
      <c r="Y406" t="str">
        <f>+VLOOKUP(A406,'[1]Tárgy kurzusai'!$A:$C,3,0)</f>
        <v>SZE:09:50-11:20(C 103)</v>
      </c>
      <c r="Z406">
        <f>+VLOOKUP(A406,'[1]Tárgy kurzusai'!$A:$F,6,0)</f>
        <v>5</v>
      </c>
      <c r="AA406" t="s">
        <v>66</v>
      </c>
      <c r="AB406" t="s">
        <v>71</v>
      </c>
      <c r="AC406" t="s">
        <v>74</v>
      </c>
      <c r="AD406" t="s">
        <v>60</v>
      </c>
      <c r="AE406" t="s">
        <v>69</v>
      </c>
      <c r="AF406" t="s">
        <v>69</v>
      </c>
      <c r="AG406" t="s">
        <v>55</v>
      </c>
      <c r="AH406" t="s">
        <v>55</v>
      </c>
      <c r="AI406" t="s">
        <v>56</v>
      </c>
      <c r="AJ406" t="s">
        <v>57</v>
      </c>
      <c r="AK406" t="s">
        <v>58</v>
      </c>
      <c r="AL406" t="s">
        <v>59</v>
      </c>
      <c r="AM406" t="s">
        <v>60</v>
      </c>
      <c r="AN406">
        <v>6</v>
      </c>
      <c r="AO406">
        <v>33</v>
      </c>
      <c r="AP406">
        <v>5</v>
      </c>
      <c r="AQ406">
        <v>13</v>
      </c>
      <c r="AR406" t="s">
        <v>55</v>
      </c>
      <c r="AS406" t="s">
        <v>55</v>
      </c>
      <c r="AT406" t="s">
        <v>56</v>
      </c>
      <c r="AU406" t="s">
        <v>62</v>
      </c>
      <c r="AV406" t="s">
        <v>63</v>
      </c>
      <c r="AW406" t="s">
        <v>60</v>
      </c>
      <c r="AX406" t="s">
        <v>60</v>
      </c>
      <c r="AY406">
        <v>3</v>
      </c>
      <c r="AZ406" t="s">
        <v>64</v>
      </c>
      <c r="BA406">
        <v>7</v>
      </c>
      <c r="BB406">
        <v>8</v>
      </c>
      <c r="BC406" t="s">
        <v>70</v>
      </c>
    </row>
    <row r="407" spans="1:55" x14ac:dyDescent="0.2">
      <c r="A407" t="s">
        <v>19</v>
      </c>
      <c r="B407" s="3" t="s">
        <v>3</v>
      </c>
      <c r="C407" s="3">
        <v>-2</v>
      </c>
      <c r="D407" s="3">
        <v>-12</v>
      </c>
      <c r="E407" s="3">
        <v>-4</v>
      </c>
      <c r="F407" s="3">
        <v>-4</v>
      </c>
      <c r="G407" s="3">
        <v>-16.5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1</v>
      </c>
      <c r="T407">
        <f t="shared" si="50"/>
        <v>14</v>
      </c>
      <c r="U407">
        <f t="shared" si="51"/>
        <v>4</v>
      </c>
      <c r="V407">
        <f t="shared" si="52"/>
        <v>12</v>
      </c>
      <c r="W407">
        <f t="shared" si="53"/>
        <v>12</v>
      </c>
      <c r="X407">
        <f t="shared" si="54"/>
        <v>23.5</v>
      </c>
      <c r="Y407" t="str">
        <f>+VLOOKUP(A407,'[1]Tárgy kurzusai'!$A:$C,3,0)</f>
        <v>SZE:09:50-11:20(C 103)</v>
      </c>
      <c r="Z407">
        <f>+VLOOKUP(A407,'[1]Tárgy kurzusai'!$A:$F,6,0)</f>
        <v>5</v>
      </c>
      <c r="AA407" t="s">
        <v>49</v>
      </c>
      <c r="AB407" t="s">
        <v>50</v>
      </c>
      <c r="AC407" t="s">
        <v>51</v>
      </c>
      <c r="AD407" t="s">
        <v>52</v>
      </c>
      <c r="AE407" t="s">
        <v>69</v>
      </c>
      <c r="AF407" t="s">
        <v>69</v>
      </c>
      <c r="AG407" t="s">
        <v>55</v>
      </c>
      <c r="AH407" t="s">
        <v>55</v>
      </c>
      <c r="AI407" t="s">
        <v>55</v>
      </c>
      <c r="AJ407" t="s">
        <v>57</v>
      </c>
      <c r="AK407" t="s">
        <v>58</v>
      </c>
      <c r="AL407" t="s">
        <v>59</v>
      </c>
      <c r="AM407" t="s">
        <v>60</v>
      </c>
      <c r="AN407">
        <v>7</v>
      </c>
      <c r="AO407">
        <v>34</v>
      </c>
      <c r="AP407">
        <v>6</v>
      </c>
      <c r="AQ407">
        <v>13</v>
      </c>
      <c r="AR407" t="s">
        <v>55</v>
      </c>
      <c r="AS407" t="s">
        <v>55</v>
      </c>
      <c r="AT407" t="s">
        <v>56</v>
      </c>
      <c r="AU407" t="s">
        <v>62</v>
      </c>
      <c r="AV407" t="s">
        <v>63</v>
      </c>
      <c r="AW407" t="s">
        <v>60</v>
      </c>
      <c r="AX407" t="s">
        <v>60</v>
      </c>
      <c r="AY407">
        <v>3</v>
      </c>
      <c r="AZ407" t="s">
        <v>78</v>
      </c>
      <c r="BA407">
        <v>7</v>
      </c>
      <c r="BB407">
        <v>3</v>
      </c>
      <c r="BC407" t="s">
        <v>82</v>
      </c>
    </row>
    <row r="408" spans="1:55" x14ac:dyDescent="0.2">
      <c r="A408" t="s">
        <v>19</v>
      </c>
      <c r="B408" s="3" t="s">
        <v>3</v>
      </c>
      <c r="C408" s="3">
        <v>-1.5</v>
      </c>
      <c r="D408" s="3">
        <v>-9.5</v>
      </c>
      <c r="E408" s="3">
        <v>-5</v>
      </c>
      <c r="F408" s="3">
        <v>-6.5</v>
      </c>
      <c r="G408" s="3">
        <v>-7.5</v>
      </c>
      <c r="H408">
        <v>0.75</v>
      </c>
      <c r="I408">
        <v>1</v>
      </c>
      <c r="J408">
        <v>1</v>
      </c>
      <c r="K408">
        <v>1</v>
      </c>
      <c r="L408">
        <v>0.5</v>
      </c>
      <c r="M408">
        <v>0.75</v>
      </c>
      <c r="N408">
        <v>1</v>
      </c>
      <c r="O408">
        <v>0.67</v>
      </c>
      <c r="P408">
        <v>1</v>
      </c>
      <c r="Q408">
        <v>0.75</v>
      </c>
      <c r="R408">
        <v>0</v>
      </c>
      <c r="S408">
        <v>1</v>
      </c>
      <c r="T408">
        <f t="shared" si="50"/>
        <v>14.5</v>
      </c>
      <c r="U408">
        <f t="shared" si="51"/>
        <v>6.5</v>
      </c>
      <c r="V408">
        <f t="shared" si="52"/>
        <v>11</v>
      </c>
      <c r="W408">
        <f t="shared" si="53"/>
        <v>9.5</v>
      </c>
      <c r="X408">
        <f t="shared" si="54"/>
        <v>32.5</v>
      </c>
      <c r="Y408" t="str">
        <f>+VLOOKUP(A408,'[1]Tárgy kurzusai'!$A:$C,3,0)</f>
        <v>SZE:09:50-11:20(C 103)</v>
      </c>
      <c r="Z408">
        <f>+VLOOKUP(A408,'[1]Tárgy kurzusai'!$A:$F,6,0)</f>
        <v>5</v>
      </c>
      <c r="AA408" t="s">
        <v>66</v>
      </c>
      <c r="AB408" t="s">
        <v>71</v>
      </c>
      <c r="AC408" t="s">
        <v>72</v>
      </c>
      <c r="AD408" t="s">
        <v>92</v>
      </c>
      <c r="AE408" t="s">
        <v>69</v>
      </c>
      <c r="AF408" t="s">
        <v>60</v>
      </c>
      <c r="AG408" t="s">
        <v>55</v>
      </c>
      <c r="AH408" t="s">
        <v>55</v>
      </c>
      <c r="AI408" t="s">
        <v>55</v>
      </c>
      <c r="AJ408" t="s">
        <v>57</v>
      </c>
      <c r="AK408" t="s">
        <v>58</v>
      </c>
      <c r="AL408" t="s">
        <v>59</v>
      </c>
      <c r="AM408" t="s">
        <v>60</v>
      </c>
      <c r="AN408">
        <v>7</v>
      </c>
      <c r="AO408">
        <v>33</v>
      </c>
      <c r="AP408">
        <v>5</v>
      </c>
      <c r="AQ408">
        <v>13</v>
      </c>
      <c r="AR408" t="s">
        <v>55</v>
      </c>
      <c r="AS408" t="s">
        <v>55</v>
      </c>
      <c r="AT408" t="s">
        <v>56</v>
      </c>
      <c r="AU408" t="s">
        <v>62</v>
      </c>
      <c r="AV408" t="s">
        <v>63</v>
      </c>
      <c r="AW408" t="s">
        <v>60</v>
      </c>
      <c r="AX408" t="s">
        <v>60</v>
      </c>
      <c r="AY408">
        <v>5</v>
      </c>
      <c r="AZ408" t="s">
        <v>64</v>
      </c>
      <c r="BA408">
        <v>7</v>
      </c>
      <c r="BB408">
        <v>10</v>
      </c>
      <c r="BC408" t="s">
        <v>70</v>
      </c>
    </row>
    <row r="409" spans="1:55" x14ac:dyDescent="0.2">
      <c r="A409" t="s">
        <v>19</v>
      </c>
      <c r="B409" s="3" t="s">
        <v>3</v>
      </c>
      <c r="C409" s="3">
        <v>-1</v>
      </c>
      <c r="D409" s="3">
        <v>-3.5</v>
      </c>
      <c r="E409" s="3">
        <v>-4</v>
      </c>
      <c r="F409" s="3">
        <v>-1</v>
      </c>
      <c r="G409" s="3">
        <v>-10.5</v>
      </c>
      <c r="H409">
        <v>1</v>
      </c>
      <c r="I409">
        <v>1</v>
      </c>
      <c r="J409">
        <v>1</v>
      </c>
      <c r="K409">
        <v>1</v>
      </c>
      <c r="L409">
        <v>0.5</v>
      </c>
      <c r="M409">
        <v>1</v>
      </c>
      <c r="N409">
        <v>1</v>
      </c>
      <c r="O409">
        <v>1</v>
      </c>
      <c r="P409">
        <v>1</v>
      </c>
      <c r="Q409">
        <v>0.75</v>
      </c>
      <c r="R409">
        <v>1</v>
      </c>
      <c r="S409">
        <v>1</v>
      </c>
      <c r="T409">
        <f t="shared" si="50"/>
        <v>15</v>
      </c>
      <c r="U409">
        <f t="shared" si="51"/>
        <v>12.5</v>
      </c>
      <c r="V409">
        <f t="shared" si="52"/>
        <v>12</v>
      </c>
      <c r="W409">
        <f t="shared" si="53"/>
        <v>15</v>
      </c>
      <c r="X409">
        <f t="shared" si="54"/>
        <v>29.5</v>
      </c>
      <c r="Y409" t="str">
        <f>+VLOOKUP(A409,'[1]Tárgy kurzusai'!$A:$C,3,0)</f>
        <v>SZE:09:50-11:20(C 103)</v>
      </c>
      <c r="Z409">
        <f>+VLOOKUP(A409,'[1]Tárgy kurzusai'!$A:$F,6,0)</f>
        <v>5</v>
      </c>
      <c r="AA409" t="s">
        <v>49</v>
      </c>
      <c r="AB409" t="s">
        <v>71</v>
      </c>
      <c r="AC409" t="s">
        <v>72</v>
      </c>
      <c r="AD409" t="s">
        <v>73</v>
      </c>
      <c r="AE409" t="s">
        <v>69</v>
      </c>
      <c r="AF409" t="s">
        <v>69</v>
      </c>
      <c r="AG409" t="s">
        <v>56</v>
      </c>
      <c r="AH409" t="s">
        <v>55</v>
      </c>
      <c r="AI409" t="s">
        <v>55</v>
      </c>
      <c r="AJ409" t="s">
        <v>57</v>
      </c>
      <c r="AK409" t="s">
        <v>58</v>
      </c>
      <c r="AL409" t="s">
        <v>59</v>
      </c>
      <c r="AM409" t="s">
        <v>60</v>
      </c>
      <c r="AN409">
        <v>6</v>
      </c>
      <c r="AO409">
        <v>30</v>
      </c>
      <c r="AP409">
        <v>5</v>
      </c>
      <c r="AQ409">
        <v>12</v>
      </c>
      <c r="AR409" t="s">
        <v>55</v>
      </c>
      <c r="AS409" t="s">
        <v>61</v>
      </c>
      <c r="AT409" t="s">
        <v>55</v>
      </c>
      <c r="AU409" t="s">
        <v>62</v>
      </c>
      <c r="AV409" t="s">
        <v>63</v>
      </c>
      <c r="AW409" t="s">
        <v>60</v>
      </c>
      <c r="AX409" t="s">
        <v>60</v>
      </c>
      <c r="AY409">
        <v>4</v>
      </c>
      <c r="AZ409" t="s">
        <v>64</v>
      </c>
      <c r="BA409">
        <v>7</v>
      </c>
      <c r="BB409">
        <v>7</v>
      </c>
      <c r="BC409" t="s">
        <v>65</v>
      </c>
    </row>
    <row r="410" spans="1:55" x14ac:dyDescent="0.2">
      <c r="A410" t="s">
        <v>19</v>
      </c>
      <c r="B410" s="3" t="s">
        <v>3</v>
      </c>
      <c r="C410" s="3">
        <v>-1.5</v>
      </c>
      <c r="D410" s="3">
        <v>0</v>
      </c>
      <c r="E410" s="3">
        <v>-3</v>
      </c>
      <c r="F410" s="3">
        <v>-2.5</v>
      </c>
      <c r="G410" s="3">
        <v>-11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0.83</v>
      </c>
      <c r="P410">
        <v>1</v>
      </c>
      <c r="Q410">
        <v>1</v>
      </c>
      <c r="R410">
        <v>1</v>
      </c>
      <c r="S410">
        <v>1</v>
      </c>
      <c r="T410">
        <f t="shared" si="50"/>
        <v>14.5</v>
      </c>
      <c r="U410">
        <f t="shared" si="51"/>
        <v>16</v>
      </c>
      <c r="V410">
        <f t="shared" si="52"/>
        <v>13</v>
      </c>
      <c r="W410">
        <f t="shared" si="53"/>
        <v>13.5</v>
      </c>
      <c r="X410">
        <f t="shared" si="54"/>
        <v>29</v>
      </c>
      <c r="Y410" t="str">
        <f>+VLOOKUP(A410,'[1]Tárgy kurzusai'!$A:$C,3,0)</f>
        <v>SZE:09:50-11:20(C 103)</v>
      </c>
      <c r="Z410">
        <f>+VLOOKUP(A410,'[1]Tárgy kurzusai'!$A:$F,6,0)</f>
        <v>5</v>
      </c>
      <c r="AA410" t="s">
        <v>49</v>
      </c>
      <c r="AB410" t="s">
        <v>71</v>
      </c>
      <c r="AC410" t="s">
        <v>51</v>
      </c>
      <c r="AD410" t="s">
        <v>88</v>
      </c>
      <c r="AE410" t="s">
        <v>69</v>
      </c>
      <c r="AF410" t="s">
        <v>69</v>
      </c>
      <c r="AG410" t="s">
        <v>55</v>
      </c>
      <c r="AH410" t="s">
        <v>55</v>
      </c>
      <c r="AI410" t="s">
        <v>55</v>
      </c>
      <c r="AJ410" t="s">
        <v>57</v>
      </c>
      <c r="AK410" t="s">
        <v>58</v>
      </c>
      <c r="AL410" t="s">
        <v>59</v>
      </c>
      <c r="AM410" t="s">
        <v>60</v>
      </c>
      <c r="AN410">
        <v>7</v>
      </c>
      <c r="AO410">
        <v>34</v>
      </c>
      <c r="AP410">
        <v>5</v>
      </c>
      <c r="AQ410">
        <v>12</v>
      </c>
      <c r="AR410" t="s">
        <v>55</v>
      </c>
      <c r="AS410" t="s">
        <v>55</v>
      </c>
      <c r="AT410" t="s">
        <v>56</v>
      </c>
      <c r="AU410" t="s">
        <v>62</v>
      </c>
      <c r="AV410" t="s">
        <v>63</v>
      </c>
      <c r="AW410" t="s">
        <v>60</v>
      </c>
      <c r="AX410" t="s">
        <v>60</v>
      </c>
      <c r="AY410">
        <v>3</v>
      </c>
      <c r="AZ410" t="s">
        <v>78</v>
      </c>
      <c r="BA410">
        <v>7</v>
      </c>
      <c r="BB410">
        <v>6</v>
      </c>
      <c r="BC410" t="s">
        <v>82</v>
      </c>
    </row>
    <row r="411" spans="1:55" x14ac:dyDescent="0.2">
      <c r="A411" t="s">
        <v>19</v>
      </c>
      <c r="B411" s="3" t="s">
        <v>3</v>
      </c>
      <c r="C411" s="3">
        <v>-2</v>
      </c>
      <c r="D411" s="3">
        <v>-6</v>
      </c>
      <c r="E411" s="3">
        <v>-4</v>
      </c>
      <c r="F411" s="3">
        <v>-6</v>
      </c>
      <c r="G411" s="3">
        <v>-10.5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0.75</v>
      </c>
      <c r="R411">
        <v>1</v>
      </c>
      <c r="S411">
        <v>1</v>
      </c>
      <c r="T411">
        <f t="shared" si="50"/>
        <v>14</v>
      </c>
      <c r="U411">
        <f t="shared" si="51"/>
        <v>10</v>
      </c>
      <c r="V411">
        <f t="shared" si="52"/>
        <v>12</v>
      </c>
      <c r="W411">
        <f t="shared" si="53"/>
        <v>10</v>
      </c>
      <c r="X411">
        <f t="shared" si="54"/>
        <v>29.5</v>
      </c>
      <c r="Y411" t="str">
        <f>+VLOOKUP(A411,'[1]Tárgy kurzusai'!$A:$C,3,0)</f>
        <v>SZE:09:50-11:20(C 103)</v>
      </c>
      <c r="Z411">
        <f>+VLOOKUP(A411,'[1]Tárgy kurzusai'!$A:$F,6,0)</f>
        <v>5</v>
      </c>
      <c r="AA411" t="s">
        <v>66</v>
      </c>
      <c r="AB411" t="s">
        <v>50</v>
      </c>
      <c r="AC411" t="s">
        <v>74</v>
      </c>
      <c r="AD411" t="s">
        <v>60</v>
      </c>
      <c r="AE411" t="s">
        <v>69</v>
      </c>
      <c r="AF411" t="s">
        <v>69</v>
      </c>
      <c r="AG411" t="s">
        <v>55</v>
      </c>
      <c r="AH411" t="s">
        <v>55</v>
      </c>
      <c r="AI411" t="s">
        <v>55</v>
      </c>
      <c r="AJ411" t="s">
        <v>57</v>
      </c>
      <c r="AK411" t="s">
        <v>58</v>
      </c>
      <c r="AL411" t="s">
        <v>59</v>
      </c>
      <c r="AM411" t="s">
        <v>60</v>
      </c>
      <c r="AN411">
        <v>7</v>
      </c>
      <c r="AO411">
        <v>33</v>
      </c>
      <c r="AP411">
        <v>5</v>
      </c>
      <c r="AQ411">
        <v>13</v>
      </c>
      <c r="AR411" t="s">
        <v>55</v>
      </c>
      <c r="AS411" t="s">
        <v>61</v>
      </c>
      <c r="AT411" t="s">
        <v>55</v>
      </c>
      <c r="AU411" t="s">
        <v>62</v>
      </c>
      <c r="AV411" t="s">
        <v>63</v>
      </c>
      <c r="AW411" t="s">
        <v>60</v>
      </c>
      <c r="AX411" t="s">
        <v>60</v>
      </c>
      <c r="AY411">
        <v>3</v>
      </c>
      <c r="AZ411" t="s">
        <v>64</v>
      </c>
      <c r="BA411">
        <v>5</v>
      </c>
      <c r="BB411">
        <v>3</v>
      </c>
      <c r="BC411" t="s">
        <v>70</v>
      </c>
    </row>
    <row r="412" spans="1:55" x14ac:dyDescent="0.2">
      <c r="A412" t="s">
        <v>19</v>
      </c>
      <c r="B412" s="3" t="s">
        <v>3</v>
      </c>
      <c r="C412" s="3">
        <v>-1.5</v>
      </c>
      <c r="D412" s="3">
        <v>-4</v>
      </c>
      <c r="E412" s="3">
        <v>-1</v>
      </c>
      <c r="F412" s="3">
        <v>-3</v>
      </c>
      <c r="G412" s="3">
        <v>-10.5</v>
      </c>
      <c r="H412">
        <v>1</v>
      </c>
      <c r="I412">
        <v>1</v>
      </c>
      <c r="J412">
        <v>1</v>
      </c>
      <c r="K412">
        <v>1</v>
      </c>
      <c r="L412">
        <v>0.5</v>
      </c>
      <c r="M412">
        <v>1</v>
      </c>
      <c r="N412">
        <v>1</v>
      </c>
      <c r="O412">
        <v>1</v>
      </c>
      <c r="P412">
        <v>1</v>
      </c>
      <c r="Q412">
        <v>0.5</v>
      </c>
      <c r="R412">
        <v>1</v>
      </c>
      <c r="S412">
        <v>1</v>
      </c>
      <c r="T412">
        <f t="shared" si="50"/>
        <v>14.5</v>
      </c>
      <c r="U412">
        <f t="shared" si="51"/>
        <v>12</v>
      </c>
      <c r="V412">
        <f t="shared" si="52"/>
        <v>15</v>
      </c>
      <c r="W412">
        <f t="shared" si="53"/>
        <v>13</v>
      </c>
      <c r="X412">
        <f t="shared" si="54"/>
        <v>29.5</v>
      </c>
      <c r="Y412" t="str">
        <f>+VLOOKUP(A412,'[1]Tárgy kurzusai'!$A:$C,3,0)</f>
        <v>SZE:09:50-11:20(C 103)</v>
      </c>
      <c r="Z412">
        <f>+VLOOKUP(A412,'[1]Tárgy kurzusai'!$A:$F,6,0)</f>
        <v>5</v>
      </c>
      <c r="AA412" t="s">
        <v>49</v>
      </c>
      <c r="AB412" t="s">
        <v>71</v>
      </c>
      <c r="AC412" t="s">
        <v>72</v>
      </c>
      <c r="AD412" t="s">
        <v>81</v>
      </c>
      <c r="AE412" t="s">
        <v>69</v>
      </c>
      <c r="AF412" t="s">
        <v>69</v>
      </c>
      <c r="AG412" t="s">
        <v>56</v>
      </c>
      <c r="AH412" t="s">
        <v>55</v>
      </c>
      <c r="AI412" t="s">
        <v>55</v>
      </c>
      <c r="AJ412" t="s">
        <v>57</v>
      </c>
      <c r="AK412" t="s">
        <v>58</v>
      </c>
      <c r="AL412" t="s">
        <v>59</v>
      </c>
      <c r="AM412" t="s">
        <v>60</v>
      </c>
      <c r="AN412">
        <v>6</v>
      </c>
      <c r="AO412">
        <v>30</v>
      </c>
      <c r="AP412">
        <v>5</v>
      </c>
      <c r="AQ412">
        <v>12</v>
      </c>
      <c r="AR412" t="s">
        <v>55</v>
      </c>
      <c r="AS412" t="s">
        <v>55</v>
      </c>
      <c r="AT412" t="s">
        <v>55</v>
      </c>
      <c r="AU412" t="s">
        <v>62</v>
      </c>
      <c r="AV412" t="s">
        <v>63</v>
      </c>
      <c r="AW412" t="s">
        <v>60</v>
      </c>
      <c r="AX412" t="s">
        <v>60</v>
      </c>
      <c r="AY412">
        <v>4</v>
      </c>
      <c r="AZ412" t="s">
        <v>64</v>
      </c>
      <c r="BA412">
        <v>5</v>
      </c>
      <c r="BB412">
        <v>5</v>
      </c>
      <c r="BC412" t="s">
        <v>70</v>
      </c>
    </row>
    <row r="413" spans="1:55" x14ac:dyDescent="0.2">
      <c r="A413" t="s">
        <v>19</v>
      </c>
      <c r="B413" s="3" t="s">
        <v>3</v>
      </c>
      <c r="C413" s="3">
        <v>-5</v>
      </c>
      <c r="D413" s="3">
        <v>-8</v>
      </c>
      <c r="E413" s="3">
        <v>-4</v>
      </c>
      <c r="F413" s="3">
        <v>-5</v>
      </c>
      <c r="G413" s="3">
        <v>-12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0.75</v>
      </c>
      <c r="O413">
        <v>1</v>
      </c>
      <c r="P413">
        <v>1</v>
      </c>
      <c r="Q413">
        <v>1</v>
      </c>
      <c r="R413">
        <v>1</v>
      </c>
      <c r="S413">
        <v>1</v>
      </c>
      <c r="T413">
        <f t="shared" si="50"/>
        <v>11</v>
      </c>
      <c r="U413">
        <f t="shared" si="51"/>
        <v>8</v>
      </c>
      <c r="V413">
        <f t="shared" si="52"/>
        <v>12</v>
      </c>
      <c r="W413">
        <f t="shared" si="53"/>
        <v>11</v>
      </c>
      <c r="X413">
        <f t="shared" si="54"/>
        <v>28</v>
      </c>
      <c r="Y413" t="str">
        <f>+VLOOKUP(A413,'[1]Tárgy kurzusai'!$A:$C,3,0)</f>
        <v>SZE:09:50-11:20(C 103)</v>
      </c>
      <c r="Z413">
        <f>+VLOOKUP(A413,'[1]Tárgy kurzusai'!$A:$F,6,0)</f>
        <v>5</v>
      </c>
      <c r="AA413" t="s">
        <v>66</v>
      </c>
      <c r="AB413" t="s">
        <v>71</v>
      </c>
      <c r="AC413" t="s">
        <v>75</v>
      </c>
      <c r="AD413" t="s">
        <v>68</v>
      </c>
      <c r="AE413" t="s">
        <v>69</v>
      </c>
      <c r="AF413" t="s">
        <v>54</v>
      </c>
      <c r="AG413" t="s">
        <v>55</v>
      </c>
      <c r="AH413" t="s">
        <v>55</v>
      </c>
      <c r="AI413" t="s">
        <v>55</v>
      </c>
      <c r="AJ413" t="s">
        <v>57</v>
      </c>
      <c r="AK413" t="s">
        <v>58</v>
      </c>
      <c r="AL413" t="s">
        <v>59</v>
      </c>
      <c r="AM413" t="s">
        <v>60</v>
      </c>
      <c r="AN413">
        <v>6</v>
      </c>
      <c r="AO413">
        <v>30</v>
      </c>
      <c r="AP413">
        <v>5</v>
      </c>
      <c r="AQ413">
        <v>11</v>
      </c>
      <c r="AR413" t="s">
        <v>55</v>
      </c>
      <c r="AS413" t="s">
        <v>61</v>
      </c>
      <c r="AT413" t="s">
        <v>56</v>
      </c>
      <c r="AU413" t="s">
        <v>62</v>
      </c>
      <c r="AV413" t="s">
        <v>63</v>
      </c>
      <c r="AW413" t="s">
        <v>60</v>
      </c>
      <c r="AX413" t="s">
        <v>60</v>
      </c>
      <c r="AY413" t="s">
        <v>60</v>
      </c>
      <c r="AZ413" t="s">
        <v>99</v>
      </c>
      <c r="BA413">
        <v>8</v>
      </c>
      <c r="BB413">
        <v>10</v>
      </c>
      <c r="BC413" t="s">
        <v>65</v>
      </c>
    </row>
    <row r="414" spans="1:55" x14ac:dyDescent="0.2">
      <c r="A414" t="s">
        <v>19</v>
      </c>
      <c r="B414" s="3" t="s">
        <v>3</v>
      </c>
      <c r="C414" s="3">
        <v>-9.5</v>
      </c>
      <c r="D414" s="3">
        <v>-10.5</v>
      </c>
      <c r="E414" s="3">
        <v>-2</v>
      </c>
      <c r="F414" s="3">
        <v>-16</v>
      </c>
      <c r="G414" s="3">
        <v>-12</v>
      </c>
      <c r="H414">
        <v>1</v>
      </c>
      <c r="I414">
        <v>0.75</v>
      </c>
      <c r="J414">
        <v>1</v>
      </c>
      <c r="K414">
        <v>1</v>
      </c>
      <c r="L414">
        <v>0.5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f t="shared" si="50"/>
        <v>6.5</v>
      </c>
      <c r="U414">
        <f t="shared" si="51"/>
        <v>5.5</v>
      </c>
      <c r="V414">
        <f t="shared" si="52"/>
        <v>14</v>
      </c>
      <c r="W414">
        <f t="shared" si="53"/>
        <v>0</v>
      </c>
      <c r="X414">
        <f t="shared" si="54"/>
        <v>28</v>
      </c>
      <c r="Y414" t="str">
        <f>+VLOOKUP(A414,'[1]Tárgy kurzusai'!$A:$C,3,0)</f>
        <v>SZE:09:50-11:20(C 103)</v>
      </c>
      <c r="Z414">
        <f>+VLOOKUP(A414,'[1]Tárgy kurzusai'!$A:$F,6,0)</f>
        <v>5</v>
      </c>
      <c r="AA414" t="s">
        <v>66</v>
      </c>
      <c r="AB414" t="s">
        <v>50</v>
      </c>
      <c r="AC414" t="s">
        <v>72</v>
      </c>
      <c r="AD414" t="s">
        <v>94</v>
      </c>
      <c r="AE414" t="s">
        <v>69</v>
      </c>
      <c r="AF414" t="s">
        <v>69</v>
      </c>
      <c r="AG414" t="s">
        <v>55</v>
      </c>
      <c r="AH414" t="s">
        <v>55</v>
      </c>
      <c r="AI414" t="s">
        <v>56</v>
      </c>
      <c r="AJ414" t="s">
        <v>57</v>
      </c>
      <c r="AK414" t="s">
        <v>79</v>
      </c>
      <c r="AL414" t="s">
        <v>59</v>
      </c>
      <c r="AM414" t="s">
        <v>60</v>
      </c>
      <c r="AN414">
        <v>8</v>
      </c>
      <c r="AO414">
        <v>37</v>
      </c>
      <c r="AP414">
        <v>5</v>
      </c>
      <c r="AQ414">
        <v>14</v>
      </c>
      <c r="AR414" t="s">
        <v>55</v>
      </c>
      <c r="AS414" t="s">
        <v>55</v>
      </c>
      <c r="AT414" t="s">
        <v>56</v>
      </c>
      <c r="AU414" t="s">
        <v>62</v>
      </c>
      <c r="AV414" t="s">
        <v>63</v>
      </c>
      <c r="AW414" t="s">
        <v>60</v>
      </c>
      <c r="AX414" t="s">
        <v>60</v>
      </c>
      <c r="AY414">
        <v>3</v>
      </c>
      <c r="AZ414" t="s">
        <v>64</v>
      </c>
      <c r="BA414">
        <v>5</v>
      </c>
      <c r="BB414">
        <v>5</v>
      </c>
      <c r="BC414" t="s">
        <v>70</v>
      </c>
    </row>
    <row r="415" spans="1:55" x14ac:dyDescent="0.2">
      <c r="A415" t="s">
        <v>19</v>
      </c>
      <c r="B415" s="3" t="s">
        <v>3</v>
      </c>
      <c r="C415" s="3">
        <v>0</v>
      </c>
      <c r="D415" s="3">
        <v>-2.5</v>
      </c>
      <c r="E415" s="3">
        <v>-5.5</v>
      </c>
      <c r="F415" s="3">
        <v>-7</v>
      </c>
      <c r="G415" s="3">
        <v>-10.5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f t="shared" si="50"/>
        <v>16</v>
      </c>
      <c r="U415">
        <f t="shared" si="51"/>
        <v>13.5</v>
      </c>
      <c r="V415">
        <f t="shared" si="52"/>
        <v>10.5</v>
      </c>
      <c r="W415">
        <f t="shared" si="53"/>
        <v>9</v>
      </c>
      <c r="X415">
        <f t="shared" si="54"/>
        <v>29.5</v>
      </c>
      <c r="Y415" t="str">
        <f>+VLOOKUP(A415,'[1]Tárgy kurzusai'!$A:$C,3,0)</f>
        <v>SZE:09:50-11:20(C 103)</v>
      </c>
      <c r="Z415">
        <f>+VLOOKUP(A415,'[1]Tárgy kurzusai'!$A:$F,6,0)</f>
        <v>5</v>
      </c>
      <c r="AA415" t="s">
        <v>49</v>
      </c>
      <c r="AB415" t="s">
        <v>80</v>
      </c>
      <c r="AC415" t="s">
        <v>51</v>
      </c>
      <c r="AD415" t="s">
        <v>103</v>
      </c>
      <c r="AE415" t="s">
        <v>53</v>
      </c>
      <c r="AF415" t="s">
        <v>53</v>
      </c>
      <c r="AG415" t="s">
        <v>55</v>
      </c>
      <c r="AH415" t="s">
        <v>56</v>
      </c>
      <c r="AI415" t="s">
        <v>55</v>
      </c>
      <c r="AJ415" t="s">
        <v>57</v>
      </c>
      <c r="AK415" t="s">
        <v>58</v>
      </c>
      <c r="AL415" t="s">
        <v>59</v>
      </c>
      <c r="AM415" t="s">
        <v>60</v>
      </c>
      <c r="AN415">
        <v>7</v>
      </c>
      <c r="AO415">
        <v>37</v>
      </c>
      <c r="AP415">
        <v>5</v>
      </c>
      <c r="AQ415">
        <v>3</v>
      </c>
      <c r="AR415" t="s">
        <v>55</v>
      </c>
      <c r="AS415" t="s">
        <v>55</v>
      </c>
      <c r="AT415" t="s">
        <v>56</v>
      </c>
      <c r="AU415" t="s">
        <v>62</v>
      </c>
      <c r="AV415" t="s">
        <v>63</v>
      </c>
      <c r="AW415" t="s">
        <v>60</v>
      </c>
      <c r="AX415" t="s">
        <v>60</v>
      </c>
      <c r="AY415">
        <v>3</v>
      </c>
      <c r="AZ415" t="s">
        <v>64</v>
      </c>
      <c r="BA415">
        <v>7</v>
      </c>
      <c r="BB415">
        <v>7</v>
      </c>
      <c r="BC415" t="s">
        <v>70</v>
      </c>
    </row>
    <row r="416" spans="1:55" x14ac:dyDescent="0.2">
      <c r="A416" t="s">
        <v>19</v>
      </c>
      <c r="B416" s="3" t="s">
        <v>3</v>
      </c>
      <c r="C416" s="3">
        <v>-2</v>
      </c>
      <c r="D416" s="3">
        <v>-12.5</v>
      </c>
      <c r="E416" s="3">
        <v>-5.5</v>
      </c>
      <c r="F416" s="3">
        <v>-4</v>
      </c>
      <c r="G416" s="3">
        <v>-11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0.75</v>
      </c>
      <c r="R416">
        <v>1</v>
      </c>
      <c r="S416">
        <v>1</v>
      </c>
      <c r="T416">
        <f t="shared" si="50"/>
        <v>14</v>
      </c>
      <c r="U416">
        <f t="shared" si="51"/>
        <v>3.5</v>
      </c>
      <c r="V416">
        <f t="shared" si="52"/>
        <v>10.5</v>
      </c>
      <c r="W416">
        <f t="shared" si="53"/>
        <v>12</v>
      </c>
      <c r="X416">
        <f t="shared" si="54"/>
        <v>29</v>
      </c>
      <c r="Y416" t="str">
        <f>+VLOOKUP(A416,'[1]Tárgy kurzusai'!$A:$C,3,0)</f>
        <v>SZE:09:50-11:20(C 103)</v>
      </c>
      <c r="Z416">
        <f>+VLOOKUP(A416,'[1]Tárgy kurzusai'!$A:$F,6,0)</f>
        <v>5</v>
      </c>
      <c r="AA416" t="s">
        <v>66</v>
      </c>
      <c r="AB416" t="s">
        <v>50</v>
      </c>
      <c r="AC416" t="s">
        <v>74</v>
      </c>
      <c r="AD416" t="s">
        <v>60</v>
      </c>
      <c r="AE416" t="s">
        <v>69</v>
      </c>
      <c r="AF416" t="s">
        <v>69</v>
      </c>
      <c r="AG416" t="s">
        <v>55</v>
      </c>
      <c r="AH416" t="s">
        <v>55</v>
      </c>
      <c r="AI416" t="s">
        <v>55</v>
      </c>
      <c r="AJ416" t="s">
        <v>57</v>
      </c>
      <c r="AK416" t="s">
        <v>58</v>
      </c>
      <c r="AL416" t="s">
        <v>59</v>
      </c>
      <c r="AM416" t="s">
        <v>60</v>
      </c>
      <c r="AN416">
        <v>7</v>
      </c>
      <c r="AO416">
        <v>36</v>
      </c>
      <c r="AP416">
        <v>5</v>
      </c>
      <c r="AQ416">
        <v>3</v>
      </c>
      <c r="AR416" t="s">
        <v>55</v>
      </c>
      <c r="AS416" t="s">
        <v>55</v>
      </c>
      <c r="AT416" t="s">
        <v>55</v>
      </c>
      <c r="AU416" t="s">
        <v>62</v>
      </c>
      <c r="AV416" t="s">
        <v>63</v>
      </c>
      <c r="AW416" t="s">
        <v>60</v>
      </c>
      <c r="AX416" t="s">
        <v>60</v>
      </c>
      <c r="AY416">
        <v>2</v>
      </c>
      <c r="AZ416" t="s">
        <v>64</v>
      </c>
      <c r="BA416">
        <v>8</v>
      </c>
      <c r="BB416">
        <v>7</v>
      </c>
      <c r="BC416" t="s">
        <v>65</v>
      </c>
    </row>
    <row r="417" spans="1:55" x14ac:dyDescent="0.2">
      <c r="A417" t="s">
        <v>19</v>
      </c>
      <c r="B417" s="3" t="s">
        <v>3</v>
      </c>
      <c r="C417" s="3">
        <v>-1.5</v>
      </c>
      <c r="D417" s="3">
        <v>-8.5</v>
      </c>
      <c r="E417" s="3">
        <v>-3</v>
      </c>
      <c r="F417" s="3">
        <v>-3</v>
      </c>
      <c r="G417" s="3">
        <v>-6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f t="shared" si="50"/>
        <v>14.5</v>
      </c>
      <c r="U417">
        <f t="shared" si="51"/>
        <v>7.5</v>
      </c>
      <c r="V417">
        <f t="shared" si="52"/>
        <v>13</v>
      </c>
      <c r="W417">
        <f t="shared" si="53"/>
        <v>13</v>
      </c>
      <c r="X417">
        <f t="shared" si="54"/>
        <v>34</v>
      </c>
      <c r="Y417" t="str">
        <f>+VLOOKUP(A417,'[1]Tárgy kurzusai'!$A:$C,3,0)</f>
        <v>SZE:09:50-11:20(C 103)</v>
      </c>
      <c r="Z417">
        <f>+VLOOKUP(A417,'[1]Tárgy kurzusai'!$A:$F,6,0)</f>
        <v>5</v>
      </c>
      <c r="AA417" t="s">
        <v>49</v>
      </c>
      <c r="AB417" t="s">
        <v>50</v>
      </c>
      <c r="AC417" t="s">
        <v>51</v>
      </c>
      <c r="AD417" t="s">
        <v>83</v>
      </c>
      <c r="AE417" t="s">
        <v>69</v>
      </c>
      <c r="AF417" t="s">
        <v>69</v>
      </c>
      <c r="AG417" t="s">
        <v>56</v>
      </c>
      <c r="AH417" t="s">
        <v>55</v>
      </c>
      <c r="AI417" t="s">
        <v>55</v>
      </c>
      <c r="AJ417" t="s">
        <v>57</v>
      </c>
      <c r="AK417" t="s">
        <v>58</v>
      </c>
      <c r="AL417" t="s">
        <v>59</v>
      </c>
      <c r="AM417" t="s">
        <v>60</v>
      </c>
      <c r="AN417">
        <v>8</v>
      </c>
      <c r="AO417">
        <v>40</v>
      </c>
      <c r="AP417">
        <v>5</v>
      </c>
      <c r="AQ417">
        <v>14</v>
      </c>
      <c r="AR417" t="s">
        <v>55</v>
      </c>
      <c r="AS417" t="s">
        <v>55</v>
      </c>
      <c r="AT417" t="s">
        <v>55</v>
      </c>
      <c r="AU417" t="s">
        <v>62</v>
      </c>
      <c r="AV417" t="s">
        <v>63</v>
      </c>
      <c r="AW417" t="s">
        <v>60</v>
      </c>
      <c r="AX417" t="s">
        <v>60</v>
      </c>
      <c r="AY417">
        <v>3</v>
      </c>
      <c r="AZ417" t="s">
        <v>64</v>
      </c>
      <c r="BA417">
        <v>5</v>
      </c>
      <c r="BB417">
        <v>8</v>
      </c>
      <c r="BC417" t="s">
        <v>65</v>
      </c>
    </row>
    <row r="418" spans="1:55" x14ac:dyDescent="0.2">
      <c r="A418" t="s">
        <v>19</v>
      </c>
      <c r="B418" s="3" t="s">
        <v>3</v>
      </c>
      <c r="C418" s="3">
        <v>-3</v>
      </c>
      <c r="D418" s="3">
        <v>-15</v>
      </c>
      <c r="E418" s="3">
        <v>-3</v>
      </c>
      <c r="F418" s="3">
        <v>-3</v>
      </c>
      <c r="G418" s="3">
        <v>-12.5</v>
      </c>
      <c r="H418">
        <v>1</v>
      </c>
      <c r="I418">
        <v>1</v>
      </c>
      <c r="J418">
        <v>1</v>
      </c>
      <c r="K418">
        <v>1</v>
      </c>
      <c r="L418">
        <v>0.5</v>
      </c>
      <c r="M418">
        <v>1</v>
      </c>
      <c r="N418">
        <v>1</v>
      </c>
      <c r="O418">
        <v>1</v>
      </c>
      <c r="P418">
        <v>1</v>
      </c>
      <c r="Q418">
        <v>0.75</v>
      </c>
      <c r="R418">
        <v>1</v>
      </c>
      <c r="S418">
        <v>1</v>
      </c>
      <c r="T418">
        <f t="shared" si="50"/>
        <v>13</v>
      </c>
      <c r="U418">
        <f t="shared" si="51"/>
        <v>1</v>
      </c>
      <c r="V418">
        <f t="shared" si="52"/>
        <v>13</v>
      </c>
      <c r="W418">
        <f t="shared" si="53"/>
        <v>13</v>
      </c>
      <c r="X418">
        <f t="shared" si="54"/>
        <v>27.5</v>
      </c>
      <c r="Y418" t="str">
        <f>+VLOOKUP(A418,'[1]Tárgy kurzusai'!$A:$C,3,0)</f>
        <v>SZE:09:50-11:20(C 103)</v>
      </c>
      <c r="Z418">
        <f>+VLOOKUP(A418,'[1]Tárgy kurzusai'!$A:$F,6,0)</f>
        <v>5</v>
      </c>
      <c r="AA418" t="s">
        <v>49</v>
      </c>
      <c r="AB418" t="s">
        <v>71</v>
      </c>
      <c r="AC418" t="s">
        <v>72</v>
      </c>
      <c r="AD418" t="s">
        <v>81</v>
      </c>
      <c r="AE418" t="s">
        <v>69</v>
      </c>
      <c r="AF418" t="s">
        <v>53</v>
      </c>
      <c r="AG418" t="s">
        <v>55</v>
      </c>
      <c r="AH418" t="s">
        <v>55</v>
      </c>
      <c r="AI418" t="s">
        <v>55</v>
      </c>
      <c r="AJ418" t="s">
        <v>57</v>
      </c>
      <c r="AK418" t="s">
        <v>58</v>
      </c>
      <c r="AL418" t="s">
        <v>59</v>
      </c>
      <c r="AM418" t="s">
        <v>60</v>
      </c>
      <c r="AN418">
        <v>6</v>
      </c>
      <c r="AO418">
        <v>30</v>
      </c>
      <c r="AP418">
        <v>5</v>
      </c>
      <c r="AQ418">
        <v>3</v>
      </c>
      <c r="AR418" t="s">
        <v>55</v>
      </c>
      <c r="AS418" t="s">
        <v>61</v>
      </c>
      <c r="AT418" t="s">
        <v>56</v>
      </c>
      <c r="AU418" t="s">
        <v>62</v>
      </c>
      <c r="AV418" t="s">
        <v>63</v>
      </c>
      <c r="AW418" t="s">
        <v>60</v>
      </c>
      <c r="AX418" t="s">
        <v>60</v>
      </c>
      <c r="AY418">
        <v>3</v>
      </c>
      <c r="AZ418" t="s">
        <v>64</v>
      </c>
      <c r="BA418">
        <v>6</v>
      </c>
      <c r="BB418">
        <v>7</v>
      </c>
      <c r="BC418" t="s">
        <v>65</v>
      </c>
    </row>
    <row r="419" spans="1:55" x14ac:dyDescent="0.2">
      <c r="A419" t="s">
        <v>19</v>
      </c>
      <c r="B419" s="3" t="s">
        <v>3</v>
      </c>
      <c r="C419" s="3">
        <v>-3.5</v>
      </c>
      <c r="D419" s="3">
        <v>-2.5</v>
      </c>
      <c r="E419" s="3">
        <v>-5.5</v>
      </c>
      <c r="F419" s="3">
        <v>-10.5</v>
      </c>
      <c r="G419" s="3">
        <v>-13.5</v>
      </c>
      <c r="H419">
        <v>1</v>
      </c>
      <c r="I419">
        <v>1</v>
      </c>
      <c r="J419">
        <v>1</v>
      </c>
      <c r="K419">
        <v>1</v>
      </c>
      <c r="L419">
        <v>0.5</v>
      </c>
      <c r="M419">
        <v>1</v>
      </c>
      <c r="N419">
        <v>0.5</v>
      </c>
      <c r="O419">
        <v>1</v>
      </c>
      <c r="P419">
        <v>1</v>
      </c>
      <c r="Q419">
        <v>1</v>
      </c>
      <c r="R419">
        <v>1</v>
      </c>
      <c r="S419">
        <v>1</v>
      </c>
      <c r="T419">
        <f t="shared" si="50"/>
        <v>12.5</v>
      </c>
      <c r="U419">
        <f t="shared" si="51"/>
        <v>13.5</v>
      </c>
      <c r="V419">
        <f t="shared" si="52"/>
        <v>10.5</v>
      </c>
      <c r="W419">
        <f t="shared" si="53"/>
        <v>5.5</v>
      </c>
      <c r="X419">
        <f t="shared" si="54"/>
        <v>26.5</v>
      </c>
      <c r="Y419" t="str">
        <f>+VLOOKUP(A419,'[1]Tárgy kurzusai'!$A:$C,3,0)</f>
        <v>SZE:09:50-11:20(C 103)</v>
      </c>
      <c r="Z419">
        <f>+VLOOKUP(A419,'[1]Tárgy kurzusai'!$A:$F,6,0)</f>
        <v>5</v>
      </c>
      <c r="AA419" t="s">
        <v>49</v>
      </c>
      <c r="AB419" t="s">
        <v>71</v>
      </c>
      <c r="AC419" t="s">
        <v>75</v>
      </c>
      <c r="AD419" t="s">
        <v>93</v>
      </c>
      <c r="AE419" t="s">
        <v>53</v>
      </c>
      <c r="AF419" t="s">
        <v>69</v>
      </c>
      <c r="AG419" t="s">
        <v>55</v>
      </c>
      <c r="AH419" t="s">
        <v>55</v>
      </c>
      <c r="AI419" t="s">
        <v>55</v>
      </c>
      <c r="AJ419" t="s">
        <v>57</v>
      </c>
      <c r="AK419" t="s">
        <v>58</v>
      </c>
      <c r="AL419" t="s">
        <v>59</v>
      </c>
      <c r="AM419" t="s">
        <v>60</v>
      </c>
      <c r="AN419">
        <v>6</v>
      </c>
      <c r="AO419">
        <v>30</v>
      </c>
      <c r="AP419">
        <v>5</v>
      </c>
      <c r="AQ419">
        <v>3</v>
      </c>
      <c r="AR419" t="s">
        <v>55</v>
      </c>
      <c r="AS419" t="s">
        <v>61</v>
      </c>
      <c r="AT419" t="s">
        <v>56</v>
      </c>
      <c r="AU419" t="s">
        <v>62</v>
      </c>
      <c r="AV419" t="s">
        <v>63</v>
      </c>
      <c r="AW419" t="s">
        <v>60</v>
      </c>
      <c r="AX419" t="s">
        <v>60</v>
      </c>
      <c r="AY419">
        <v>4</v>
      </c>
      <c r="AZ419" t="s">
        <v>64</v>
      </c>
      <c r="BA419">
        <v>7</v>
      </c>
      <c r="BB419">
        <v>8</v>
      </c>
      <c r="BC419" t="s">
        <v>82</v>
      </c>
    </row>
    <row r="420" spans="1:55" x14ac:dyDescent="0.2">
      <c r="A420" t="s">
        <v>19</v>
      </c>
      <c r="B420" s="3" t="s">
        <v>3</v>
      </c>
      <c r="C420" s="3">
        <v>-5</v>
      </c>
      <c r="D420" s="3">
        <v>-16</v>
      </c>
      <c r="E420" s="3">
        <v>-7</v>
      </c>
      <c r="F420" s="3">
        <v>-7.5</v>
      </c>
      <c r="G420" s="3">
        <v>-11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0.75</v>
      </c>
      <c r="O420">
        <v>0</v>
      </c>
      <c r="P420">
        <v>1</v>
      </c>
      <c r="Q420">
        <v>0.25</v>
      </c>
      <c r="R420">
        <v>1</v>
      </c>
      <c r="S420">
        <v>1</v>
      </c>
      <c r="T420">
        <f t="shared" si="50"/>
        <v>11</v>
      </c>
      <c r="U420">
        <f t="shared" si="51"/>
        <v>0</v>
      </c>
      <c r="V420">
        <f t="shared" si="52"/>
        <v>9</v>
      </c>
      <c r="W420">
        <f t="shared" si="53"/>
        <v>8.5</v>
      </c>
      <c r="X420">
        <f t="shared" si="54"/>
        <v>29</v>
      </c>
      <c r="Y420" t="str">
        <f>+VLOOKUP(A420,'[1]Tárgy kurzusai'!$A:$C,3,0)</f>
        <v>SZE:09:50-11:20(C 103)</v>
      </c>
      <c r="Z420">
        <f>+VLOOKUP(A420,'[1]Tárgy kurzusai'!$A:$F,6,0)</f>
        <v>5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</row>
    <row r="421" spans="1:55" x14ac:dyDescent="0.2">
      <c r="A421" t="s">
        <v>19</v>
      </c>
      <c r="B421" s="3" t="s">
        <v>3</v>
      </c>
      <c r="C421" s="3">
        <v>-8</v>
      </c>
      <c r="D421" s="3">
        <v>-3.5</v>
      </c>
      <c r="E421" s="3">
        <v>-8</v>
      </c>
      <c r="F421" s="3">
        <v>-6.5</v>
      </c>
      <c r="G421" s="3">
        <v>-12</v>
      </c>
      <c r="H421">
        <v>0.75</v>
      </c>
      <c r="I421">
        <v>0.75</v>
      </c>
      <c r="J421">
        <v>1</v>
      </c>
      <c r="K421">
        <v>1</v>
      </c>
      <c r="L421">
        <v>1</v>
      </c>
      <c r="M421">
        <v>1</v>
      </c>
      <c r="N421">
        <v>0.75</v>
      </c>
      <c r="O421">
        <v>1</v>
      </c>
      <c r="P421">
        <v>1</v>
      </c>
      <c r="Q421">
        <v>0.5</v>
      </c>
      <c r="R421">
        <v>1</v>
      </c>
      <c r="S421">
        <v>1</v>
      </c>
      <c r="T421">
        <f t="shared" si="50"/>
        <v>8</v>
      </c>
      <c r="U421">
        <f t="shared" si="51"/>
        <v>12.5</v>
      </c>
      <c r="V421">
        <f t="shared" si="52"/>
        <v>8</v>
      </c>
      <c r="W421">
        <f t="shared" si="53"/>
        <v>9.5</v>
      </c>
      <c r="X421">
        <f t="shared" si="54"/>
        <v>28</v>
      </c>
      <c r="Y421" t="str">
        <f>+VLOOKUP(A421,'[1]Tárgy kurzusai'!$A:$C,3,0)</f>
        <v>SZE:09:50-11:20(C 103)</v>
      </c>
      <c r="Z421">
        <f>+VLOOKUP(A421,'[1]Tárgy kurzusai'!$A:$F,6,0)</f>
        <v>5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</row>
    <row r="422" spans="1:55" x14ac:dyDescent="0.2">
      <c r="A422" t="s">
        <v>19</v>
      </c>
      <c r="B422" s="3" t="s">
        <v>3</v>
      </c>
      <c r="C422" s="3">
        <v>-3.5</v>
      </c>
      <c r="D422" s="3">
        <v>-0.5</v>
      </c>
      <c r="E422" s="3">
        <v>-5.5</v>
      </c>
      <c r="F422" s="3">
        <v>-2</v>
      </c>
      <c r="G422" s="3">
        <v>-4.5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0.33</v>
      </c>
      <c r="P422">
        <v>1</v>
      </c>
      <c r="Q422">
        <v>0.25</v>
      </c>
      <c r="R422">
        <v>1</v>
      </c>
      <c r="S422">
        <v>1</v>
      </c>
      <c r="T422">
        <f t="shared" si="50"/>
        <v>12.5</v>
      </c>
      <c r="U422">
        <f t="shared" si="51"/>
        <v>15.5</v>
      </c>
      <c r="V422">
        <f t="shared" si="52"/>
        <v>10.5</v>
      </c>
      <c r="W422">
        <f t="shared" si="53"/>
        <v>14</v>
      </c>
      <c r="X422">
        <f t="shared" si="54"/>
        <v>35.5</v>
      </c>
      <c r="Y422" t="str">
        <f>+VLOOKUP(A422,'[1]Tárgy kurzusai'!$A:$C,3,0)</f>
        <v>SZE:09:50-11:20(C 103)</v>
      </c>
      <c r="Z422">
        <f>+VLOOKUP(A422,'[1]Tárgy kurzusai'!$A:$F,6,0)</f>
        <v>5</v>
      </c>
      <c r="AA422" t="s">
        <v>66</v>
      </c>
      <c r="AB422" t="s">
        <v>71</v>
      </c>
      <c r="AC422" t="s">
        <v>51</v>
      </c>
      <c r="AD422" t="s">
        <v>87</v>
      </c>
      <c r="AE422" t="s">
        <v>69</v>
      </c>
      <c r="AF422" t="s">
        <v>69</v>
      </c>
      <c r="AG422" t="s">
        <v>56</v>
      </c>
      <c r="AH422" t="s">
        <v>55</v>
      </c>
      <c r="AI422" t="s">
        <v>55</v>
      </c>
      <c r="AJ422" t="s">
        <v>57</v>
      </c>
      <c r="AK422" t="s">
        <v>58</v>
      </c>
      <c r="AL422" t="s">
        <v>59</v>
      </c>
      <c r="AM422" t="s">
        <v>60</v>
      </c>
      <c r="AN422">
        <v>6</v>
      </c>
      <c r="AO422">
        <v>30</v>
      </c>
      <c r="AP422">
        <v>5</v>
      </c>
      <c r="AQ422">
        <v>12</v>
      </c>
      <c r="AR422" t="s">
        <v>55</v>
      </c>
      <c r="AS422" t="s">
        <v>61</v>
      </c>
      <c r="AT422" t="s">
        <v>56</v>
      </c>
      <c r="AU422" t="s">
        <v>62</v>
      </c>
      <c r="AV422" t="s">
        <v>63</v>
      </c>
      <c r="AW422" t="s">
        <v>60</v>
      </c>
      <c r="AX422" t="s">
        <v>60</v>
      </c>
      <c r="AY422">
        <v>3</v>
      </c>
      <c r="AZ422" t="s">
        <v>64</v>
      </c>
      <c r="BA422">
        <v>8</v>
      </c>
      <c r="BB422">
        <v>9</v>
      </c>
      <c r="BC422" t="s">
        <v>76</v>
      </c>
    </row>
    <row r="423" spans="1:55" x14ac:dyDescent="0.2">
      <c r="A423" t="s">
        <v>19</v>
      </c>
      <c r="B423" s="3" t="s">
        <v>3</v>
      </c>
      <c r="C423" s="3">
        <v>-1</v>
      </c>
      <c r="D423" s="3">
        <v>-6.5</v>
      </c>
      <c r="E423" s="3">
        <v>-2.5</v>
      </c>
      <c r="F423" s="3">
        <v>-4</v>
      </c>
      <c r="G423" s="3">
        <v>-6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0.25</v>
      </c>
      <c r="N423">
        <v>1</v>
      </c>
      <c r="O423">
        <v>1</v>
      </c>
      <c r="P423">
        <v>1</v>
      </c>
      <c r="Q423">
        <v>0.75</v>
      </c>
      <c r="R423">
        <v>1</v>
      </c>
      <c r="S423">
        <v>1</v>
      </c>
      <c r="T423">
        <f t="shared" si="50"/>
        <v>15</v>
      </c>
      <c r="U423">
        <f t="shared" si="51"/>
        <v>9.5</v>
      </c>
      <c r="V423">
        <f t="shared" si="52"/>
        <v>13.5</v>
      </c>
      <c r="W423">
        <f t="shared" si="53"/>
        <v>12</v>
      </c>
      <c r="X423">
        <f t="shared" si="54"/>
        <v>34</v>
      </c>
      <c r="Y423" t="str">
        <f>+VLOOKUP(A423,'[1]Tárgy kurzusai'!$A:$C,3,0)</f>
        <v>SZE:09:50-11:20(C 103)</v>
      </c>
      <c r="Z423">
        <f>+VLOOKUP(A423,'[1]Tárgy kurzusai'!$A:$F,6,0)</f>
        <v>5</v>
      </c>
      <c r="AA423" t="s">
        <v>66</v>
      </c>
      <c r="AB423" t="s">
        <v>71</v>
      </c>
      <c r="AC423" t="s">
        <v>72</v>
      </c>
      <c r="AD423" t="s">
        <v>73</v>
      </c>
      <c r="AE423" t="s">
        <v>69</v>
      </c>
      <c r="AF423" t="s">
        <v>69</v>
      </c>
      <c r="AG423" t="s">
        <v>56</v>
      </c>
      <c r="AH423" t="s">
        <v>55</v>
      </c>
      <c r="AI423" t="s">
        <v>55</v>
      </c>
      <c r="AJ423" t="s">
        <v>57</v>
      </c>
      <c r="AK423" t="s">
        <v>58</v>
      </c>
      <c r="AL423" t="s">
        <v>59</v>
      </c>
      <c r="AM423" t="s">
        <v>60</v>
      </c>
      <c r="AN423">
        <v>7</v>
      </c>
      <c r="AO423">
        <v>37</v>
      </c>
      <c r="AP423">
        <v>5</v>
      </c>
      <c r="AQ423">
        <v>16</v>
      </c>
      <c r="AR423" t="s">
        <v>55</v>
      </c>
      <c r="AS423" t="s">
        <v>61</v>
      </c>
      <c r="AT423" t="s">
        <v>56</v>
      </c>
      <c r="AU423" t="s">
        <v>62</v>
      </c>
      <c r="AV423" t="s">
        <v>63</v>
      </c>
      <c r="AW423" t="s">
        <v>60</v>
      </c>
      <c r="AX423" t="s">
        <v>60</v>
      </c>
      <c r="AY423">
        <v>4</v>
      </c>
      <c r="AZ423" t="s">
        <v>64</v>
      </c>
      <c r="BA423">
        <v>6</v>
      </c>
      <c r="BB423">
        <v>8</v>
      </c>
      <c r="BC423" t="s">
        <v>65</v>
      </c>
    </row>
    <row r="424" spans="1:55" x14ac:dyDescent="0.2">
      <c r="A424" t="s">
        <v>19</v>
      </c>
      <c r="B424" s="3" t="s">
        <v>3</v>
      </c>
      <c r="C424" s="3">
        <v>-16</v>
      </c>
      <c r="D424" s="3">
        <v>-0.5</v>
      </c>
      <c r="E424" s="3">
        <v>-12</v>
      </c>
      <c r="F424" s="3">
        <v>-8</v>
      </c>
      <c r="G424" s="3">
        <v>-10.5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0.33</v>
      </c>
      <c r="P424">
        <v>1</v>
      </c>
      <c r="Q424">
        <v>1</v>
      </c>
      <c r="R424">
        <v>1</v>
      </c>
      <c r="S424">
        <v>1</v>
      </c>
      <c r="T424">
        <f t="shared" si="50"/>
        <v>0</v>
      </c>
      <c r="U424">
        <f t="shared" si="51"/>
        <v>15.5</v>
      </c>
      <c r="V424">
        <f t="shared" si="52"/>
        <v>4</v>
      </c>
      <c r="W424">
        <f t="shared" si="53"/>
        <v>8</v>
      </c>
      <c r="X424">
        <f t="shared" si="54"/>
        <v>29.5</v>
      </c>
      <c r="Y424" t="str">
        <f>+VLOOKUP(A424,'[1]Tárgy kurzusai'!$A:$C,3,0)</f>
        <v>SZE:09:50-11:20(C 103)</v>
      </c>
      <c r="Z424">
        <f>+VLOOKUP(A424,'[1]Tárgy kurzusai'!$A:$F,6,0)</f>
        <v>5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</row>
    <row r="425" spans="1:55" x14ac:dyDescent="0.2">
      <c r="A425" t="s">
        <v>19</v>
      </c>
      <c r="B425" s="3" t="s">
        <v>3</v>
      </c>
      <c r="C425" s="3">
        <v>-5.5</v>
      </c>
      <c r="D425" s="3">
        <v>-11</v>
      </c>
      <c r="E425" s="3">
        <v>-12.5</v>
      </c>
      <c r="F425" s="3">
        <v>-11.5</v>
      </c>
      <c r="G425" s="3">
        <v>-14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0.67</v>
      </c>
      <c r="P425">
        <v>1</v>
      </c>
      <c r="Q425">
        <v>0.75</v>
      </c>
      <c r="R425">
        <v>1</v>
      </c>
      <c r="S425">
        <v>1</v>
      </c>
      <c r="T425">
        <f t="shared" si="50"/>
        <v>10.5</v>
      </c>
      <c r="U425">
        <f t="shared" si="51"/>
        <v>5</v>
      </c>
      <c r="V425">
        <f t="shared" si="52"/>
        <v>3.5</v>
      </c>
      <c r="W425">
        <f t="shared" si="53"/>
        <v>4.5</v>
      </c>
      <c r="X425">
        <f t="shared" si="54"/>
        <v>26</v>
      </c>
      <c r="Y425" t="str">
        <f>+VLOOKUP(A425,'[1]Tárgy kurzusai'!$A:$C,3,0)</f>
        <v>SZE:09:50-11:20(C 103)</v>
      </c>
      <c r="Z425">
        <f>+VLOOKUP(A425,'[1]Tárgy kurzusai'!$A:$F,6,0)</f>
        <v>5</v>
      </c>
      <c r="AA425" t="s">
        <v>49</v>
      </c>
      <c r="AB425" t="s">
        <v>71</v>
      </c>
      <c r="AC425" t="s">
        <v>51</v>
      </c>
      <c r="AD425" t="s">
        <v>68</v>
      </c>
      <c r="AE425" t="s">
        <v>69</v>
      </c>
      <c r="AF425" t="s">
        <v>69</v>
      </c>
      <c r="AG425" t="s">
        <v>55</v>
      </c>
      <c r="AH425" t="s">
        <v>55</v>
      </c>
      <c r="AI425" t="s">
        <v>55</v>
      </c>
      <c r="AJ425" t="s">
        <v>57</v>
      </c>
      <c r="AK425" t="s">
        <v>58</v>
      </c>
      <c r="AL425" t="s">
        <v>59</v>
      </c>
      <c r="AM425" t="s">
        <v>60</v>
      </c>
      <c r="AN425">
        <v>6</v>
      </c>
      <c r="AO425">
        <v>30</v>
      </c>
      <c r="AP425">
        <v>4</v>
      </c>
      <c r="AQ425">
        <v>6</v>
      </c>
      <c r="AR425" t="s">
        <v>55</v>
      </c>
      <c r="AS425" t="s">
        <v>61</v>
      </c>
      <c r="AT425" t="s">
        <v>55</v>
      </c>
      <c r="AU425" t="s">
        <v>62</v>
      </c>
      <c r="AV425" t="s">
        <v>63</v>
      </c>
      <c r="AW425" t="s">
        <v>60</v>
      </c>
      <c r="AX425" t="s">
        <v>60</v>
      </c>
      <c r="AY425">
        <v>4</v>
      </c>
      <c r="AZ425" t="s">
        <v>99</v>
      </c>
      <c r="BA425">
        <v>6</v>
      </c>
      <c r="BB425">
        <v>7</v>
      </c>
      <c r="BC425" t="s">
        <v>76</v>
      </c>
    </row>
    <row r="426" spans="1:55" x14ac:dyDescent="0.2">
      <c r="A426" t="s">
        <v>19</v>
      </c>
      <c r="B426" s="3" t="s">
        <v>3</v>
      </c>
      <c r="C426" s="3">
        <v>-6</v>
      </c>
      <c r="D426" s="3">
        <v>-3.5</v>
      </c>
      <c r="E426" s="3">
        <v>-4</v>
      </c>
      <c r="F426" s="3">
        <v>0</v>
      </c>
      <c r="G426" s="3">
        <v>-6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f t="shared" si="50"/>
        <v>10</v>
      </c>
      <c r="U426">
        <f t="shared" si="51"/>
        <v>12.5</v>
      </c>
      <c r="V426">
        <f t="shared" si="52"/>
        <v>12</v>
      </c>
      <c r="W426">
        <f t="shared" si="53"/>
        <v>16</v>
      </c>
      <c r="X426">
        <f t="shared" si="54"/>
        <v>34</v>
      </c>
      <c r="Y426" t="str">
        <f>+VLOOKUP(A426,'[1]Tárgy kurzusai'!$A:$C,3,0)</f>
        <v>SZE:09:50-11:20(C 103)</v>
      </c>
      <c r="Z426">
        <f>+VLOOKUP(A426,'[1]Tárgy kurzusai'!$A:$F,6,0)</f>
        <v>5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</row>
    <row r="427" spans="1:55" x14ac:dyDescent="0.2">
      <c r="A427" t="s">
        <v>19</v>
      </c>
      <c r="B427" s="3" t="s">
        <v>3</v>
      </c>
      <c r="C427" s="3">
        <v>-2.5</v>
      </c>
      <c r="D427" s="3">
        <v>-9.5</v>
      </c>
      <c r="E427" s="3">
        <v>-2</v>
      </c>
      <c r="F427" s="3">
        <v>-3</v>
      </c>
      <c r="G427" s="3">
        <v>-10.5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0.33</v>
      </c>
      <c r="P427">
        <v>1</v>
      </c>
      <c r="Q427">
        <v>1</v>
      </c>
      <c r="R427">
        <v>1</v>
      </c>
      <c r="S427">
        <v>1</v>
      </c>
      <c r="T427">
        <f t="shared" si="50"/>
        <v>13.5</v>
      </c>
      <c r="U427">
        <f t="shared" si="51"/>
        <v>6.5</v>
      </c>
      <c r="V427">
        <f t="shared" si="52"/>
        <v>14</v>
      </c>
      <c r="W427">
        <f t="shared" si="53"/>
        <v>13</v>
      </c>
      <c r="X427">
        <f t="shared" si="54"/>
        <v>29.5</v>
      </c>
      <c r="Y427" t="str">
        <f>+VLOOKUP(A427,'[1]Tárgy kurzusai'!$A:$C,3,0)</f>
        <v>SZE:09:50-11:20(C 103)</v>
      </c>
      <c r="Z427">
        <f>+VLOOKUP(A427,'[1]Tárgy kurzusai'!$A:$F,6,0)</f>
        <v>5</v>
      </c>
      <c r="AA427" t="s">
        <v>49</v>
      </c>
      <c r="AB427" t="s">
        <v>71</v>
      </c>
      <c r="AC427" t="s">
        <v>51</v>
      </c>
      <c r="AD427" t="s">
        <v>68</v>
      </c>
      <c r="AE427" t="s">
        <v>69</v>
      </c>
      <c r="AF427" t="s">
        <v>69</v>
      </c>
      <c r="AG427" t="s">
        <v>56</v>
      </c>
      <c r="AH427" t="s">
        <v>56</v>
      </c>
      <c r="AI427" t="s">
        <v>55</v>
      </c>
      <c r="AJ427" t="s">
        <v>57</v>
      </c>
      <c r="AK427" t="s">
        <v>58</v>
      </c>
      <c r="AL427" t="s">
        <v>59</v>
      </c>
      <c r="AM427" t="s">
        <v>60</v>
      </c>
      <c r="AN427">
        <v>7</v>
      </c>
      <c r="AO427">
        <v>34</v>
      </c>
      <c r="AP427">
        <v>5</v>
      </c>
      <c r="AQ427">
        <v>13</v>
      </c>
      <c r="AR427" t="s">
        <v>55</v>
      </c>
      <c r="AS427" t="s">
        <v>55</v>
      </c>
      <c r="AT427" t="s">
        <v>56</v>
      </c>
      <c r="AU427" t="s">
        <v>62</v>
      </c>
      <c r="AV427" t="s">
        <v>63</v>
      </c>
      <c r="AW427" t="s">
        <v>60</v>
      </c>
      <c r="AX427" t="s">
        <v>60</v>
      </c>
      <c r="AY427">
        <v>5</v>
      </c>
      <c r="AZ427" t="s">
        <v>64</v>
      </c>
      <c r="BA427">
        <v>7</v>
      </c>
      <c r="BB427">
        <v>9</v>
      </c>
      <c r="BC427" t="s">
        <v>82</v>
      </c>
    </row>
    <row r="428" spans="1:55" x14ac:dyDescent="0.2">
      <c r="A428" t="s">
        <v>19</v>
      </c>
      <c r="B428" s="3" t="s">
        <v>3</v>
      </c>
      <c r="C428" s="3">
        <v>0</v>
      </c>
      <c r="D428" s="3">
        <v>-5</v>
      </c>
      <c r="E428" s="3">
        <v>-4</v>
      </c>
      <c r="F428" s="3">
        <v>-6</v>
      </c>
      <c r="G428" s="3">
        <v>-10.5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0.83</v>
      </c>
      <c r="P428">
        <v>1</v>
      </c>
      <c r="Q428">
        <v>0.75</v>
      </c>
      <c r="R428">
        <v>1</v>
      </c>
      <c r="S428">
        <v>1</v>
      </c>
      <c r="T428">
        <f t="shared" si="50"/>
        <v>16</v>
      </c>
      <c r="U428">
        <f t="shared" si="51"/>
        <v>11</v>
      </c>
      <c r="V428">
        <f t="shared" si="52"/>
        <v>12</v>
      </c>
      <c r="W428">
        <f t="shared" si="53"/>
        <v>10</v>
      </c>
      <c r="X428">
        <f t="shared" si="54"/>
        <v>29.5</v>
      </c>
      <c r="Y428" t="str">
        <f>+VLOOKUP(A428,'[1]Tárgy kurzusai'!$A:$C,3,0)</f>
        <v>SZE:09:50-11:20(C 103)</v>
      </c>
      <c r="Z428">
        <f>+VLOOKUP(A428,'[1]Tárgy kurzusai'!$A:$F,6,0)</f>
        <v>5</v>
      </c>
      <c r="AA428" t="s">
        <v>66</v>
      </c>
      <c r="AB428" t="s">
        <v>71</v>
      </c>
      <c r="AC428" t="s">
        <v>75</v>
      </c>
      <c r="AD428" t="s">
        <v>68</v>
      </c>
      <c r="AE428" t="s">
        <v>53</v>
      </c>
      <c r="AF428" t="s">
        <v>69</v>
      </c>
      <c r="AG428" t="s">
        <v>55</v>
      </c>
      <c r="AH428" t="s">
        <v>55</v>
      </c>
      <c r="AI428" t="s">
        <v>55</v>
      </c>
      <c r="AJ428" t="s">
        <v>60</v>
      </c>
      <c r="AK428" t="s">
        <v>58</v>
      </c>
      <c r="AL428" t="s">
        <v>59</v>
      </c>
      <c r="AM428" t="s">
        <v>60</v>
      </c>
      <c r="AN428">
        <v>7</v>
      </c>
      <c r="AO428">
        <v>33</v>
      </c>
      <c r="AP428">
        <v>5</v>
      </c>
      <c r="AQ428">
        <v>10</v>
      </c>
      <c r="AR428" t="s">
        <v>106</v>
      </c>
      <c r="AS428" t="s">
        <v>55</v>
      </c>
      <c r="AT428" t="s">
        <v>55</v>
      </c>
      <c r="AU428" t="s">
        <v>62</v>
      </c>
      <c r="AV428" t="s">
        <v>63</v>
      </c>
      <c r="AW428" t="s">
        <v>60</v>
      </c>
      <c r="AX428" t="s">
        <v>60</v>
      </c>
      <c r="AY428">
        <v>5</v>
      </c>
      <c r="AZ428" t="s">
        <v>64</v>
      </c>
      <c r="BA428">
        <v>5</v>
      </c>
      <c r="BB428">
        <v>3</v>
      </c>
      <c r="BC428" t="s">
        <v>65</v>
      </c>
    </row>
    <row r="429" spans="1:55" x14ac:dyDescent="0.2">
      <c r="A429" t="s">
        <v>19</v>
      </c>
      <c r="B429" s="3" t="s">
        <v>3</v>
      </c>
      <c r="C429" s="3">
        <v>-9</v>
      </c>
      <c r="D429" s="3">
        <v>-13.5</v>
      </c>
      <c r="E429" s="3">
        <v>-8</v>
      </c>
      <c r="F429" s="3">
        <v>-6</v>
      </c>
      <c r="G429" s="3">
        <v>-26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1</v>
      </c>
      <c r="O429">
        <v>0.83</v>
      </c>
      <c r="P429">
        <v>1</v>
      </c>
      <c r="Q429">
        <v>0.75</v>
      </c>
      <c r="R429">
        <v>1</v>
      </c>
      <c r="S429">
        <v>1</v>
      </c>
      <c r="T429">
        <f t="shared" si="50"/>
        <v>7</v>
      </c>
      <c r="U429">
        <f t="shared" si="51"/>
        <v>2.5</v>
      </c>
      <c r="V429">
        <f t="shared" si="52"/>
        <v>8</v>
      </c>
      <c r="W429">
        <f t="shared" si="53"/>
        <v>10</v>
      </c>
      <c r="X429">
        <f t="shared" si="54"/>
        <v>14</v>
      </c>
      <c r="Y429" t="str">
        <f>+VLOOKUP(A429,'[1]Tárgy kurzusai'!$A:$C,3,0)</f>
        <v>SZE:09:50-11:20(C 103)</v>
      </c>
      <c r="Z429">
        <f>+VLOOKUP(A429,'[1]Tárgy kurzusai'!$A:$F,6,0)</f>
        <v>5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</row>
    <row r="430" spans="1:55" x14ac:dyDescent="0.2">
      <c r="A430" t="s">
        <v>19</v>
      </c>
      <c r="B430" s="3" t="s">
        <v>3</v>
      </c>
      <c r="C430" s="3">
        <v>-4.5</v>
      </c>
      <c r="D430" s="3">
        <v>-1.5</v>
      </c>
      <c r="E430" s="3">
        <v>-6</v>
      </c>
      <c r="F430" s="3">
        <v>-16</v>
      </c>
      <c r="G430" s="3">
        <v>0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0.75</v>
      </c>
      <c r="R430">
        <v>1</v>
      </c>
      <c r="S430">
        <v>0</v>
      </c>
      <c r="T430">
        <f t="shared" si="50"/>
        <v>11.5</v>
      </c>
      <c r="U430">
        <f t="shared" si="51"/>
        <v>14.5</v>
      </c>
      <c r="V430">
        <f t="shared" si="52"/>
        <v>10</v>
      </c>
      <c r="W430">
        <f t="shared" si="53"/>
        <v>0</v>
      </c>
      <c r="X430">
        <f t="shared" si="54"/>
        <v>40</v>
      </c>
      <c r="Y430" t="str">
        <f>+VLOOKUP(A430,'[1]Tárgy kurzusai'!$A:$C,3,0)</f>
        <v>SZE:09:50-11:20(C 103)</v>
      </c>
      <c r="Z430">
        <f>+VLOOKUP(A430,'[1]Tárgy kurzusai'!$A:$F,6,0)</f>
        <v>5</v>
      </c>
      <c r="AA430" t="s">
        <v>49</v>
      </c>
      <c r="AB430" t="s">
        <v>71</v>
      </c>
      <c r="AC430" t="s">
        <v>72</v>
      </c>
      <c r="AD430" t="s">
        <v>73</v>
      </c>
      <c r="AE430" t="s">
        <v>69</v>
      </c>
      <c r="AF430" t="s">
        <v>69</v>
      </c>
      <c r="AG430" t="s">
        <v>56</v>
      </c>
      <c r="AH430" t="s">
        <v>55</v>
      </c>
      <c r="AI430" t="s">
        <v>55</v>
      </c>
      <c r="AJ430" t="s">
        <v>57</v>
      </c>
      <c r="AK430" t="s">
        <v>58</v>
      </c>
      <c r="AL430" t="s">
        <v>59</v>
      </c>
      <c r="AM430" t="s">
        <v>60</v>
      </c>
      <c r="AN430">
        <v>6</v>
      </c>
      <c r="AO430">
        <v>34</v>
      </c>
      <c r="AP430">
        <v>5</v>
      </c>
      <c r="AQ430">
        <v>13</v>
      </c>
      <c r="AR430" t="s">
        <v>55</v>
      </c>
      <c r="AS430" t="s">
        <v>55</v>
      </c>
      <c r="AT430" t="s">
        <v>56</v>
      </c>
      <c r="AU430" t="s">
        <v>62</v>
      </c>
      <c r="AV430" t="s">
        <v>63</v>
      </c>
      <c r="AW430" t="s">
        <v>60</v>
      </c>
      <c r="AX430" t="s">
        <v>60</v>
      </c>
      <c r="AY430">
        <v>5</v>
      </c>
      <c r="AZ430" t="s">
        <v>64</v>
      </c>
      <c r="BA430">
        <v>5</v>
      </c>
      <c r="BB430">
        <v>9</v>
      </c>
      <c r="BC430" t="s">
        <v>65</v>
      </c>
    </row>
    <row r="431" spans="1:55" x14ac:dyDescent="0.2">
      <c r="A431" t="s">
        <v>19</v>
      </c>
      <c r="B431" s="3" t="s">
        <v>3</v>
      </c>
      <c r="C431" s="3">
        <v>-7</v>
      </c>
      <c r="D431" s="3">
        <v>-12</v>
      </c>
      <c r="E431" s="3">
        <v>-5.5</v>
      </c>
      <c r="F431" s="3">
        <v>-7</v>
      </c>
      <c r="G431" s="3">
        <v>-9</v>
      </c>
      <c r="H431">
        <v>0.5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0.75</v>
      </c>
      <c r="O431">
        <v>1</v>
      </c>
      <c r="P431">
        <v>1</v>
      </c>
      <c r="Q431">
        <v>0</v>
      </c>
      <c r="R431">
        <v>0.5</v>
      </c>
      <c r="S431">
        <v>1</v>
      </c>
      <c r="T431">
        <f t="shared" si="50"/>
        <v>9</v>
      </c>
      <c r="U431">
        <f t="shared" si="51"/>
        <v>4</v>
      </c>
      <c r="V431">
        <f t="shared" si="52"/>
        <v>10.5</v>
      </c>
      <c r="W431">
        <f t="shared" si="53"/>
        <v>9</v>
      </c>
      <c r="X431">
        <f t="shared" si="54"/>
        <v>31</v>
      </c>
      <c r="Y431" t="str">
        <f>+VLOOKUP(A431,'[1]Tárgy kurzusai'!$A:$C,3,0)</f>
        <v>SZE:09:50-11:20(C 103)</v>
      </c>
      <c r="Z431">
        <f>+VLOOKUP(A431,'[1]Tárgy kurzusai'!$A:$F,6,0)</f>
        <v>5</v>
      </c>
      <c r="AA431" t="s">
        <v>49</v>
      </c>
      <c r="AB431" t="s">
        <v>71</v>
      </c>
      <c r="AC431" t="s">
        <v>74</v>
      </c>
      <c r="AD431" t="s">
        <v>60</v>
      </c>
      <c r="AE431" t="s">
        <v>69</v>
      </c>
      <c r="AF431" t="s">
        <v>53</v>
      </c>
      <c r="AG431" t="s">
        <v>55</v>
      </c>
      <c r="AH431" t="s">
        <v>55</v>
      </c>
      <c r="AI431" t="s">
        <v>56</v>
      </c>
      <c r="AJ431" t="s">
        <v>57</v>
      </c>
      <c r="AK431" t="s">
        <v>58</v>
      </c>
      <c r="AL431" t="s">
        <v>59</v>
      </c>
      <c r="AM431" t="s">
        <v>60</v>
      </c>
      <c r="AN431">
        <v>7</v>
      </c>
      <c r="AO431">
        <v>34</v>
      </c>
      <c r="AP431">
        <v>6</v>
      </c>
      <c r="AQ431">
        <v>13</v>
      </c>
      <c r="AR431" t="s">
        <v>55</v>
      </c>
      <c r="AS431" t="s">
        <v>61</v>
      </c>
      <c r="AT431" t="s">
        <v>56</v>
      </c>
      <c r="AU431" t="s">
        <v>62</v>
      </c>
      <c r="AV431" t="s">
        <v>63</v>
      </c>
      <c r="AW431" t="s">
        <v>60</v>
      </c>
      <c r="AX431" t="s">
        <v>60</v>
      </c>
      <c r="AY431">
        <v>3</v>
      </c>
      <c r="AZ431" t="s">
        <v>64</v>
      </c>
      <c r="BA431">
        <v>6</v>
      </c>
      <c r="BB431">
        <v>10</v>
      </c>
      <c r="BC431" t="s">
        <v>82</v>
      </c>
    </row>
    <row r="432" spans="1:55" x14ac:dyDescent="0.2">
      <c r="A432" t="s">
        <v>19</v>
      </c>
      <c r="B432" s="3" t="s">
        <v>3</v>
      </c>
      <c r="C432" s="3">
        <v>-3</v>
      </c>
      <c r="D432" s="3">
        <v>-4.5</v>
      </c>
      <c r="E432" s="3">
        <v>-4.5</v>
      </c>
      <c r="F432" s="3">
        <v>-6</v>
      </c>
      <c r="G432" s="3">
        <v>-12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0.75</v>
      </c>
      <c r="R432">
        <v>0</v>
      </c>
      <c r="S432">
        <v>1</v>
      </c>
      <c r="T432">
        <f t="shared" si="50"/>
        <v>13</v>
      </c>
      <c r="U432">
        <f t="shared" si="51"/>
        <v>11.5</v>
      </c>
      <c r="V432">
        <f t="shared" si="52"/>
        <v>11.5</v>
      </c>
      <c r="W432">
        <f t="shared" si="53"/>
        <v>10</v>
      </c>
      <c r="X432">
        <f t="shared" si="54"/>
        <v>28</v>
      </c>
      <c r="Y432" t="str">
        <f>+VLOOKUP(A432,'[1]Tárgy kurzusai'!$A:$C,3,0)</f>
        <v>SZE:09:50-11:20(C 103)</v>
      </c>
      <c r="Z432">
        <f>+VLOOKUP(A432,'[1]Tárgy kurzusai'!$A:$F,6,0)</f>
        <v>5</v>
      </c>
      <c r="AA432" t="s">
        <v>66</v>
      </c>
      <c r="AB432" t="s">
        <v>50</v>
      </c>
      <c r="AC432" t="s">
        <v>72</v>
      </c>
      <c r="AD432" t="s">
        <v>84</v>
      </c>
      <c r="AE432" t="s">
        <v>53</v>
      </c>
      <c r="AF432" t="s">
        <v>53</v>
      </c>
      <c r="AG432" t="s">
        <v>55</v>
      </c>
      <c r="AH432" t="s">
        <v>55</v>
      </c>
      <c r="AI432" t="s">
        <v>55</v>
      </c>
      <c r="AJ432" t="s">
        <v>57</v>
      </c>
      <c r="AK432" t="s">
        <v>58</v>
      </c>
      <c r="AL432" t="s">
        <v>59</v>
      </c>
      <c r="AM432" t="s">
        <v>60</v>
      </c>
      <c r="AN432">
        <v>7</v>
      </c>
      <c r="AO432">
        <v>34</v>
      </c>
      <c r="AP432">
        <v>5</v>
      </c>
      <c r="AQ432">
        <v>11</v>
      </c>
      <c r="AR432" t="s">
        <v>55</v>
      </c>
      <c r="AS432" t="s">
        <v>55</v>
      </c>
      <c r="AT432" t="s">
        <v>56</v>
      </c>
      <c r="AU432" t="s">
        <v>62</v>
      </c>
      <c r="AV432" t="s">
        <v>63</v>
      </c>
      <c r="AW432" t="s">
        <v>60</v>
      </c>
      <c r="AX432" t="s">
        <v>60</v>
      </c>
      <c r="AY432">
        <v>4</v>
      </c>
      <c r="AZ432" t="s">
        <v>64</v>
      </c>
      <c r="BA432">
        <v>7</v>
      </c>
      <c r="BB432">
        <v>7</v>
      </c>
      <c r="BC432" t="s">
        <v>65</v>
      </c>
    </row>
    <row r="433" spans="1:55" x14ac:dyDescent="0.2">
      <c r="A433" t="s">
        <v>19</v>
      </c>
      <c r="B433" s="3" t="s">
        <v>3</v>
      </c>
      <c r="C433" s="3">
        <v>-5</v>
      </c>
      <c r="D433" s="3">
        <v>-6</v>
      </c>
      <c r="E433" s="3">
        <v>-2</v>
      </c>
      <c r="F433" s="3">
        <v>-4.5</v>
      </c>
      <c r="G433" s="3">
        <v>-19.5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0.67</v>
      </c>
      <c r="P433">
        <v>1</v>
      </c>
      <c r="Q433">
        <v>0.5</v>
      </c>
      <c r="R433">
        <v>1</v>
      </c>
      <c r="S433">
        <v>1</v>
      </c>
      <c r="T433">
        <f t="shared" si="50"/>
        <v>11</v>
      </c>
      <c r="U433">
        <f t="shared" si="51"/>
        <v>10</v>
      </c>
      <c r="V433">
        <f t="shared" si="52"/>
        <v>14</v>
      </c>
      <c r="W433">
        <f t="shared" si="53"/>
        <v>11.5</v>
      </c>
      <c r="X433">
        <f t="shared" si="54"/>
        <v>20.5</v>
      </c>
      <c r="Y433" t="str">
        <f>+VLOOKUP(A433,'[1]Tárgy kurzusai'!$A:$C,3,0)</f>
        <v>SZE:09:50-11:20(C 103)</v>
      </c>
      <c r="Z433">
        <f>+VLOOKUP(A433,'[1]Tárgy kurzusai'!$A:$F,6,0)</f>
        <v>5</v>
      </c>
      <c r="AA433" t="s">
        <v>49</v>
      </c>
      <c r="AB433" t="s">
        <v>71</v>
      </c>
      <c r="AC433" t="s">
        <v>72</v>
      </c>
      <c r="AD433" t="s">
        <v>92</v>
      </c>
      <c r="AE433" t="s">
        <v>53</v>
      </c>
      <c r="AF433" t="s">
        <v>69</v>
      </c>
      <c r="AG433" t="s">
        <v>56</v>
      </c>
      <c r="AH433" t="s">
        <v>55</v>
      </c>
      <c r="AI433" t="s">
        <v>55</v>
      </c>
      <c r="AJ433" t="s">
        <v>57</v>
      </c>
      <c r="AK433" t="s">
        <v>58</v>
      </c>
      <c r="AL433" t="s">
        <v>59</v>
      </c>
      <c r="AM433" t="s">
        <v>60</v>
      </c>
      <c r="AN433">
        <v>8</v>
      </c>
      <c r="AO433">
        <v>40</v>
      </c>
      <c r="AP433">
        <v>5</v>
      </c>
      <c r="AQ433">
        <v>16</v>
      </c>
      <c r="AR433" t="s">
        <v>55</v>
      </c>
      <c r="AS433" t="s">
        <v>55</v>
      </c>
      <c r="AT433" t="s">
        <v>56</v>
      </c>
      <c r="AU433" t="s">
        <v>62</v>
      </c>
      <c r="AV433" t="s">
        <v>63</v>
      </c>
      <c r="AW433" t="s">
        <v>60</v>
      </c>
      <c r="AX433" t="s">
        <v>60</v>
      </c>
      <c r="AY433">
        <v>4</v>
      </c>
      <c r="AZ433" t="s">
        <v>78</v>
      </c>
      <c r="BA433">
        <v>6</v>
      </c>
      <c r="BB433">
        <v>8</v>
      </c>
      <c r="BC433" t="s">
        <v>70</v>
      </c>
    </row>
    <row r="434" spans="1:55" x14ac:dyDescent="0.2">
      <c r="A434" t="s">
        <v>19</v>
      </c>
      <c r="B434" s="3" t="s">
        <v>3</v>
      </c>
      <c r="C434" s="3">
        <v>-1</v>
      </c>
      <c r="D434" s="3">
        <v>-2.5</v>
      </c>
      <c r="E434" s="3">
        <v>-5</v>
      </c>
      <c r="F434" s="3">
        <v>-2</v>
      </c>
      <c r="G434" s="3">
        <v>-7.5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0.5</v>
      </c>
      <c r="P434">
        <v>1</v>
      </c>
      <c r="Q434">
        <v>0.75</v>
      </c>
      <c r="R434">
        <v>1</v>
      </c>
      <c r="S434">
        <v>1</v>
      </c>
      <c r="T434">
        <f t="shared" si="50"/>
        <v>15</v>
      </c>
      <c r="U434">
        <f t="shared" si="51"/>
        <v>13.5</v>
      </c>
      <c r="V434">
        <f t="shared" si="52"/>
        <v>11</v>
      </c>
      <c r="W434">
        <f t="shared" si="53"/>
        <v>14</v>
      </c>
      <c r="X434">
        <f t="shared" si="54"/>
        <v>32.5</v>
      </c>
      <c r="Y434" t="str">
        <f>+VLOOKUP(A434,'[1]Tárgy kurzusai'!$A:$C,3,0)</f>
        <v>SZE:09:50-11:20(C 103)</v>
      </c>
      <c r="Z434">
        <f>+VLOOKUP(A434,'[1]Tárgy kurzusai'!$A:$F,6,0)</f>
        <v>5</v>
      </c>
      <c r="AA434" t="s">
        <v>66</v>
      </c>
      <c r="AB434" t="s">
        <v>71</v>
      </c>
      <c r="AC434" t="s">
        <v>51</v>
      </c>
      <c r="AD434" t="s">
        <v>68</v>
      </c>
      <c r="AE434" t="s">
        <v>69</v>
      </c>
      <c r="AF434" t="s">
        <v>69</v>
      </c>
      <c r="AG434" t="s">
        <v>55</v>
      </c>
      <c r="AH434" t="s">
        <v>55</v>
      </c>
      <c r="AI434" t="s">
        <v>55</v>
      </c>
      <c r="AJ434" t="s">
        <v>57</v>
      </c>
      <c r="AK434" t="s">
        <v>58</v>
      </c>
      <c r="AL434" t="s">
        <v>59</v>
      </c>
      <c r="AM434" t="s">
        <v>60</v>
      </c>
      <c r="AN434">
        <v>7</v>
      </c>
      <c r="AO434">
        <v>34</v>
      </c>
      <c r="AP434">
        <v>5</v>
      </c>
      <c r="AQ434">
        <v>6</v>
      </c>
      <c r="AR434" t="s">
        <v>55</v>
      </c>
      <c r="AS434" t="s">
        <v>61</v>
      </c>
      <c r="AT434" t="s">
        <v>55</v>
      </c>
      <c r="AU434" t="s">
        <v>62</v>
      </c>
      <c r="AV434" t="s">
        <v>63</v>
      </c>
      <c r="AW434" t="s">
        <v>60</v>
      </c>
      <c r="AX434" t="s">
        <v>60</v>
      </c>
      <c r="AY434">
        <v>4</v>
      </c>
      <c r="AZ434" t="s">
        <v>64</v>
      </c>
      <c r="BA434">
        <v>8</v>
      </c>
      <c r="BB434">
        <v>10</v>
      </c>
      <c r="BC434" t="s">
        <v>76</v>
      </c>
    </row>
    <row r="435" spans="1:55" x14ac:dyDescent="0.2">
      <c r="A435" t="s">
        <v>25</v>
      </c>
      <c r="B435" s="3" t="s">
        <v>8</v>
      </c>
      <c r="C435" s="3">
        <v>10</v>
      </c>
      <c r="D435" s="3">
        <v>7</v>
      </c>
      <c r="E435" s="3">
        <v>13</v>
      </c>
      <c r="F435" s="3">
        <v>0</v>
      </c>
      <c r="G435" s="3">
        <v>23.5</v>
      </c>
      <c r="H435" s="22">
        <v>1</v>
      </c>
      <c r="I435" s="22">
        <v>1</v>
      </c>
      <c r="J435" s="22">
        <v>1</v>
      </c>
      <c r="K435" s="21">
        <v>0</v>
      </c>
      <c r="L435" s="22">
        <v>1</v>
      </c>
      <c r="M435" s="22">
        <v>1</v>
      </c>
      <c r="N435" s="22">
        <v>1</v>
      </c>
      <c r="O435" s="22">
        <v>1</v>
      </c>
      <c r="P435" s="22">
        <v>1</v>
      </c>
      <c r="Q435" s="22">
        <v>1</v>
      </c>
      <c r="R435" s="22">
        <v>1</v>
      </c>
      <c r="S435" s="22">
        <v>1</v>
      </c>
      <c r="T435">
        <f t="shared" ref="T435:T472" si="55">+C435</f>
        <v>10</v>
      </c>
      <c r="U435">
        <f t="shared" ref="U435:U472" si="56">+D435</f>
        <v>7</v>
      </c>
      <c r="V435">
        <f t="shared" ref="V435:V472" si="57">+E435</f>
        <v>13</v>
      </c>
      <c r="W435">
        <f t="shared" ref="W435:W472" si="58">+F435</f>
        <v>0</v>
      </c>
      <c r="X435">
        <f t="shared" ref="X435:X472" si="59">+G435</f>
        <v>23.5</v>
      </c>
      <c r="Y435" t="s">
        <v>31</v>
      </c>
      <c r="Z435">
        <v>1</v>
      </c>
      <c r="AA435" t="s">
        <v>66</v>
      </c>
      <c r="AB435" t="s">
        <v>80</v>
      </c>
      <c r="AC435" t="s">
        <v>72</v>
      </c>
      <c r="AD435" t="s">
        <v>93</v>
      </c>
      <c r="AE435" t="s">
        <v>69</v>
      </c>
      <c r="AF435" t="s">
        <v>54</v>
      </c>
      <c r="AG435" t="s">
        <v>55</v>
      </c>
      <c r="AH435" t="s">
        <v>55</v>
      </c>
      <c r="AI435" t="s">
        <v>55</v>
      </c>
      <c r="AJ435" t="s">
        <v>57</v>
      </c>
      <c r="AK435" t="s">
        <v>58</v>
      </c>
      <c r="AL435" t="s">
        <v>59</v>
      </c>
      <c r="AM435" t="s">
        <v>60</v>
      </c>
      <c r="AN435">
        <v>6</v>
      </c>
      <c r="AO435">
        <v>34</v>
      </c>
      <c r="AP435">
        <v>5</v>
      </c>
      <c r="AQ435">
        <v>3</v>
      </c>
      <c r="AR435" t="s">
        <v>55</v>
      </c>
      <c r="AS435" t="s">
        <v>61</v>
      </c>
      <c r="AT435" t="s">
        <v>55</v>
      </c>
      <c r="AU435" t="s">
        <v>62</v>
      </c>
      <c r="AV435" t="s">
        <v>63</v>
      </c>
      <c r="AW435" t="s">
        <v>60</v>
      </c>
      <c r="AX435" t="s">
        <v>60</v>
      </c>
      <c r="AY435">
        <v>3</v>
      </c>
      <c r="AZ435" t="s">
        <v>78</v>
      </c>
      <c r="BA435">
        <v>8</v>
      </c>
      <c r="BB435">
        <v>10</v>
      </c>
      <c r="BC435" t="s">
        <v>82</v>
      </c>
    </row>
    <row r="436" spans="1:55" x14ac:dyDescent="0.2">
      <c r="A436" t="s">
        <v>25</v>
      </c>
      <c r="B436" s="3" t="s">
        <v>8</v>
      </c>
      <c r="C436" s="3">
        <v>10</v>
      </c>
      <c r="D436" s="3">
        <v>12</v>
      </c>
      <c r="E436" s="3">
        <v>9</v>
      </c>
      <c r="F436" s="3">
        <v>9</v>
      </c>
      <c r="G436" s="3">
        <v>21</v>
      </c>
      <c r="H436" s="22">
        <v>1</v>
      </c>
      <c r="I436" s="22">
        <v>1</v>
      </c>
      <c r="J436" s="22">
        <v>1</v>
      </c>
      <c r="K436" s="22">
        <v>1</v>
      </c>
      <c r="L436" s="22">
        <v>1</v>
      </c>
      <c r="M436" s="22">
        <v>1</v>
      </c>
      <c r="N436" s="22">
        <v>1</v>
      </c>
      <c r="O436" s="22">
        <v>1</v>
      </c>
      <c r="P436" s="22">
        <v>1</v>
      </c>
      <c r="Q436" s="22">
        <v>0.75</v>
      </c>
      <c r="R436" s="22">
        <v>1</v>
      </c>
      <c r="S436" s="22">
        <v>1</v>
      </c>
      <c r="T436">
        <f t="shared" si="55"/>
        <v>10</v>
      </c>
      <c r="U436">
        <f t="shared" si="56"/>
        <v>12</v>
      </c>
      <c r="V436">
        <f t="shared" si="57"/>
        <v>9</v>
      </c>
      <c r="W436">
        <f t="shared" si="58"/>
        <v>9</v>
      </c>
      <c r="X436">
        <f t="shared" si="59"/>
        <v>21</v>
      </c>
      <c r="Y436" t="s">
        <v>31</v>
      </c>
      <c r="Z436">
        <v>1</v>
      </c>
      <c r="AA436" t="s">
        <v>49</v>
      </c>
      <c r="AB436" t="s">
        <v>50</v>
      </c>
      <c r="AC436" t="s">
        <v>75</v>
      </c>
      <c r="AD436" t="s">
        <v>93</v>
      </c>
      <c r="AE436" t="s">
        <v>54</v>
      </c>
      <c r="AF436" t="s">
        <v>54</v>
      </c>
      <c r="AG436" t="s">
        <v>55</v>
      </c>
      <c r="AH436" t="s">
        <v>55</v>
      </c>
      <c r="AI436" t="s">
        <v>55</v>
      </c>
      <c r="AJ436" t="s">
        <v>57</v>
      </c>
      <c r="AK436" t="s">
        <v>58</v>
      </c>
      <c r="AL436" t="s">
        <v>59</v>
      </c>
      <c r="AM436" t="s">
        <v>60</v>
      </c>
      <c r="AN436">
        <v>7</v>
      </c>
      <c r="AO436">
        <v>34</v>
      </c>
      <c r="AP436">
        <v>5</v>
      </c>
      <c r="AQ436">
        <v>6</v>
      </c>
      <c r="AR436" t="s">
        <v>55</v>
      </c>
      <c r="AS436" t="s">
        <v>61</v>
      </c>
      <c r="AT436" t="s">
        <v>55</v>
      </c>
      <c r="AU436" t="s">
        <v>62</v>
      </c>
      <c r="AV436" t="s">
        <v>63</v>
      </c>
      <c r="AW436" t="s">
        <v>60</v>
      </c>
      <c r="AX436" t="s">
        <v>60</v>
      </c>
      <c r="AY436">
        <v>3</v>
      </c>
      <c r="AZ436" t="s">
        <v>64</v>
      </c>
      <c r="BA436">
        <v>10</v>
      </c>
      <c r="BB436">
        <v>2</v>
      </c>
      <c r="BC436" t="s">
        <v>82</v>
      </c>
    </row>
    <row r="437" spans="1:55" x14ac:dyDescent="0.2">
      <c r="A437" t="s">
        <v>25</v>
      </c>
      <c r="B437" s="3" t="s">
        <v>8</v>
      </c>
      <c r="C437" s="3">
        <v>0</v>
      </c>
      <c r="D437" s="3">
        <v>0</v>
      </c>
      <c r="E437" s="3">
        <v>0</v>
      </c>
      <c r="F437" s="3">
        <v>0</v>
      </c>
      <c r="G437" s="3"/>
      <c r="H437" s="21">
        <v>0</v>
      </c>
      <c r="I437" s="21">
        <v>0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2">
        <v>0</v>
      </c>
      <c r="Q437" s="21">
        <v>0</v>
      </c>
      <c r="R437" s="21">
        <v>0</v>
      </c>
      <c r="S437" s="21">
        <v>0</v>
      </c>
      <c r="T437">
        <f t="shared" si="55"/>
        <v>0</v>
      </c>
      <c r="U437">
        <f t="shared" si="56"/>
        <v>0</v>
      </c>
      <c r="V437">
        <f t="shared" si="57"/>
        <v>0</v>
      </c>
      <c r="W437">
        <f t="shared" si="58"/>
        <v>0</v>
      </c>
      <c r="X437">
        <f t="shared" si="59"/>
        <v>0</v>
      </c>
      <c r="Y437" t="s">
        <v>31</v>
      </c>
      <c r="Z437">
        <v>1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</row>
    <row r="438" spans="1:55" x14ac:dyDescent="0.2">
      <c r="A438" t="s">
        <v>25</v>
      </c>
      <c r="B438" s="3" t="s">
        <v>8</v>
      </c>
      <c r="C438" s="3">
        <v>9</v>
      </c>
      <c r="D438" s="3">
        <v>10</v>
      </c>
      <c r="E438" s="3">
        <v>11</v>
      </c>
      <c r="F438" s="3">
        <v>5.5</v>
      </c>
      <c r="G438" s="3">
        <v>18.5</v>
      </c>
      <c r="H438" s="22">
        <v>1</v>
      </c>
      <c r="I438" s="22">
        <v>0.75</v>
      </c>
      <c r="J438" s="22">
        <v>1</v>
      </c>
      <c r="K438" s="22">
        <v>1</v>
      </c>
      <c r="L438" s="22">
        <v>1</v>
      </c>
      <c r="M438" s="22">
        <v>1</v>
      </c>
      <c r="N438" s="22">
        <v>0.5</v>
      </c>
      <c r="O438" s="22">
        <v>1</v>
      </c>
      <c r="P438" s="22">
        <v>1</v>
      </c>
      <c r="Q438" s="22">
        <v>1</v>
      </c>
      <c r="R438" s="22">
        <v>0.5</v>
      </c>
      <c r="S438" s="22">
        <v>1</v>
      </c>
      <c r="T438">
        <f t="shared" si="55"/>
        <v>9</v>
      </c>
      <c r="U438">
        <f t="shared" si="56"/>
        <v>10</v>
      </c>
      <c r="V438">
        <f t="shared" si="57"/>
        <v>11</v>
      </c>
      <c r="W438">
        <f t="shared" si="58"/>
        <v>5.5</v>
      </c>
      <c r="X438">
        <f t="shared" si="59"/>
        <v>18.5</v>
      </c>
      <c r="Y438" t="s">
        <v>31</v>
      </c>
      <c r="Z438">
        <v>1</v>
      </c>
      <c r="AA438" t="s">
        <v>49</v>
      </c>
      <c r="AB438" t="s">
        <v>113</v>
      </c>
      <c r="AC438" t="s">
        <v>75</v>
      </c>
      <c r="AD438" t="s">
        <v>93</v>
      </c>
      <c r="AE438" t="s">
        <v>69</v>
      </c>
      <c r="AF438" t="s">
        <v>54</v>
      </c>
      <c r="AG438" t="s">
        <v>55</v>
      </c>
      <c r="AH438" t="s">
        <v>55</v>
      </c>
      <c r="AI438" t="s">
        <v>55</v>
      </c>
      <c r="AJ438" t="s">
        <v>57</v>
      </c>
      <c r="AK438" t="s">
        <v>58</v>
      </c>
      <c r="AL438" t="s">
        <v>59</v>
      </c>
      <c r="AM438" t="s">
        <v>60</v>
      </c>
      <c r="AN438">
        <v>6</v>
      </c>
      <c r="AO438">
        <v>28</v>
      </c>
      <c r="AP438">
        <v>5</v>
      </c>
      <c r="AQ438">
        <v>11</v>
      </c>
      <c r="AR438" t="s">
        <v>55</v>
      </c>
      <c r="AS438" t="s">
        <v>61</v>
      </c>
      <c r="AT438" t="s">
        <v>55</v>
      </c>
      <c r="AU438" t="s">
        <v>62</v>
      </c>
      <c r="AV438" t="s">
        <v>63</v>
      </c>
      <c r="AW438" t="s">
        <v>60</v>
      </c>
      <c r="AX438" t="s">
        <v>60</v>
      </c>
      <c r="AY438">
        <v>3</v>
      </c>
      <c r="AZ438" t="s">
        <v>99</v>
      </c>
      <c r="BA438">
        <v>4</v>
      </c>
      <c r="BB438">
        <v>3</v>
      </c>
      <c r="BC438" t="s">
        <v>82</v>
      </c>
    </row>
    <row r="439" spans="1:55" x14ac:dyDescent="0.2">
      <c r="A439" t="s">
        <v>25</v>
      </c>
      <c r="B439" s="3" t="s">
        <v>8</v>
      </c>
      <c r="C439" s="3">
        <v>6</v>
      </c>
      <c r="D439" s="3">
        <v>11</v>
      </c>
      <c r="E439" s="3">
        <v>5</v>
      </c>
      <c r="F439" s="3">
        <v>10</v>
      </c>
      <c r="G439" s="3">
        <v>20</v>
      </c>
      <c r="H439" s="22">
        <v>0.75</v>
      </c>
      <c r="I439" s="22">
        <v>1</v>
      </c>
      <c r="J439" s="22">
        <v>1</v>
      </c>
      <c r="K439" s="22">
        <v>1</v>
      </c>
      <c r="L439" s="22">
        <v>1</v>
      </c>
      <c r="M439" s="22">
        <v>1</v>
      </c>
      <c r="N439" s="22">
        <v>0.75</v>
      </c>
      <c r="O439" s="22">
        <v>1</v>
      </c>
      <c r="P439" s="22">
        <v>1</v>
      </c>
      <c r="Q439" s="22">
        <v>0.25</v>
      </c>
      <c r="R439" s="22">
        <v>1</v>
      </c>
      <c r="S439" s="22">
        <v>1</v>
      </c>
      <c r="T439">
        <f t="shared" si="55"/>
        <v>6</v>
      </c>
      <c r="U439">
        <f t="shared" si="56"/>
        <v>11</v>
      </c>
      <c r="V439">
        <f t="shared" si="57"/>
        <v>5</v>
      </c>
      <c r="W439">
        <f t="shared" si="58"/>
        <v>10</v>
      </c>
      <c r="X439">
        <f t="shared" si="59"/>
        <v>20</v>
      </c>
      <c r="Y439" t="s">
        <v>31</v>
      </c>
      <c r="Z439">
        <v>1</v>
      </c>
      <c r="AA439" t="s">
        <v>49</v>
      </c>
      <c r="AB439" t="s">
        <v>71</v>
      </c>
      <c r="AC439" t="s">
        <v>51</v>
      </c>
      <c r="AD439" t="s">
        <v>68</v>
      </c>
      <c r="AE439" t="s">
        <v>69</v>
      </c>
      <c r="AF439" t="s">
        <v>53</v>
      </c>
      <c r="AG439" t="s">
        <v>55</v>
      </c>
      <c r="AH439" t="s">
        <v>55</v>
      </c>
      <c r="AI439" t="s">
        <v>55</v>
      </c>
      <c r="AJ439" t="s">
        <v>57</v>
      </c>
      <c r="AK439" t="s">
        <v>58</v>
      </c>
      <c r="AL439" t="s">
        <v>59</v>
      </c>
      <c r="AM439" t="s">
        <v>60</v>
      </c>
      <c r="AN439">
        <v>6</v>
      </c>
      <c r="AO439">
        <v>33</v>
      </c>
      <c r="AP439">
        <v>4</v>
      </c>
      <c r="AQ439">
        <v>11</v>
      </c>
      <c r="AR439" t="s">
        <v>55</v>
      </c>
      <c r="AS439" t="s">
        <v>61</v>
      </c>
      <c r="AT439" t="s">
        <v>55</v>
      </c>
      <c r="AU439" t="s">
        <v>62</v>
      </c>
      <c r="AV439" t="s">
        <v>63</v>
      </c>
      <c r="AW439" t="s">
        <v>60</v>
      </c>
      <c r="AX439" t="s">
        <v>60</v>
      </c>
      <c r="AY439">
        <v>3</v>
      </c>
      <c r="AZ439" t="s">
        <v>78</v>
      </c>
      <c r="BA439">
        <v>6</v>
      </c>
      <c r="BB439">
        <v>3</v>
      </c>
      <c r="BC439" t="s">
        <v>70</v>
      </c>
    </row>
    <row r="440" spans="1:55" x14ac:dyDescent="0.2">
      <c r="A440" t="s">
        <v>25</v>
      </c>
      <c r="B440" s="3" t="s">
        <v>8</v>
      </c>
      <c r="C440" s="3">
        <v>5</v>
      </c>
      <c r="D440" s="3">
        <v>5.5</v>
      </c>
      <c r="E440" s="3">
        <v>3</v>
      </c>
      <c r="F440" s="3">
        <v>5</v>
      </c>
      <c r="G440" s="3">
        <v>17</v>
      </c>
      <c r="H440" s="22">
        <v>1</v>
      </c>
      <c r="I440" s="22">
        <v>1</v>
      </c>
      <c r="J440" s="22">
        <v>0.75</v>
      </c>
      <c r="K440" s="22">
        <v>1</v>
      </c>
      <c r="L440" s="22">
        <v>1</v>
      </c>
      <c r="M440" s="22">
        <v>1</v>
      </c>
      <c r="N440" s="22">
        <v>1</v>
      </c>
      <c r="O440" s="21">
        <v>0</v>
      </c>
      <c r="P440" s="22">
        <v>1</v>
      </c>
      <c r="Q440" s="22">
        <v>0.25</v>
      </c>
      <c r="R440" s="22">
        <v>1</v>
      </c>
      <c r="S440" s="22">
        <v>1</v>
      </c>
      <c r="T440">
        <f t="shared" si="55"/>
        <v>5</v>
      </c>
      <c r="U440">
        <f t="shared" si="56"/>
        <v>5.5</v>
      </c>
      <c r="V440">
        <f t="shared" si="57"/>
        <v>3</v>
      </c>
      <c r="W440">
        <f t="shared" si="58"/>
        <v>5</v>
      </c>
      <c r="X440">
        <f t="shared" si="59"/>
        <v>17</v>
      </c>
      <c r="Y440" t="s">
        <v>31</v>
      </c>
      <c r="Z440">
        <v>1</v>
      </c>
      <c r="AA440" t="s">
        <v>66</v>
      </c>
      <c r="AB440" t="s">
        <v>101</v>
      </c>
      <c r="AC440" t="s">
        <v>51</v>
      </c>
      <c r="AD440" t="s">
        <v>83</v>
      </c>
      <c r="AE440" t="s">
        <v>69</v>
      </c>
      <c r="AF440" t="s">
        <v>69</v>
      </c>
      <c r="AG440" t="s">
        <v>56</v>
      </c>
      <c r="AH440" t="s">
        <v>55</v>
      </c>
      <c r="AI440" t="s">
        <v>55</v>
      </c>
      <c r="AJ440" t="s">
        <v>57</v>
      </c>
      <c r="AK440" t="s">
        <v>58</v>
      </c>
      <c r="AL440" t="s">
        <v>105</v>
      </c>
      <c r="AM440">
        <v>0</v>
      </c>
      <c r="AN440">
        <v>8</v>
      </c>
      <c r="AO440">
        <v>32</v>
      </c>
      <c r="AP440">
        <v>7</v>
      </c>
      <c r="AQ440">
        <v>12</v>
      </c>
      <c r="AR440" t="s">
        <v>55</v>
      </c>
      <c r="AS440" t="s">
        <v>61</v>
      </c>
      <c r="AT440" t="s">
        <v>56</v>
      </c>
      <c r="AU440" t="s">
        <v>62</v>
      </c>
      <c r="AV440" t="s">
        <v>63</v>
      </c>
      <c r="AW440" t="s">
        <v>60</v>
      </c>
      <c r="AX440" t="s">
        <v>60</v>
      </c>
      <c r="AY440">
        <v>3</v>
      </c>
      <c r="AZ440" t="s">
        <v>78</v>
      </c>
      <c r="BA440">
        <v>4</v>
      </c>
      <c r="BB440">
        <v>8</v>
      </c>
      <c r="BC440" t="s">
        <v>65</v>
      </c>
    </row>
    <row r="441" spans="1:55" x14ac:dyDescent="0.2">
      <c r="A441" t="s">
        <v>25</v>
      </c>
      <c r="B441" s="3" t="s">
        <v>8</v>
      </c>
      <c r="C441" s="3">
        <v>9.5</v>
      </c>
      <c r="D441" s="3">
        <v>11.5</v>
      </c>
      <c r="E441" s="3">
        <v>14</v>
      </c>
      <c r="F441" s="3">
        <v>16</v>
      </c>
      <c r="G441" s="3">
        <v>31</v>
      </c>
      <c r="H441" s="22">
        <v>1</v>
      </c>
      <c r="I441" s="22">
        <v>1</v>
      </c>
      <c r="J441" s="22">
        <v>1</v>
      </c>
      <c r="K441" s="22">
        <v>1</v>
      </c>
      <c r="L441" s="22">
        <v>1</v>
      </c>
      <c r="M441" s="22">
        <v>1</v>
      </c>
      <c r="N441" s="22">
        <v>1</v>
      </c>
      <c r="O441" s="22">
        <v>1</v>
      </c>
      <c r="P441" s="22">
        <v>1</v>
      </c>
      <c r="Q441" s="22">
        <v>0.25</v>
      </c>
      <c r="R441" s="22">
        <v>1</v>
      </c>
      <c r="S441" s="22">
        <v>1</v>
      </c>
      <c r="T441">
        <f t="shared" si="55"/>
        <v>9.5</v>
      </c>
      <c r="U441">
        <f t="shared" si="56"/>
        <v>11.5</v>
      </c>
      <c r="V441">
        <f t="shared" si="57"/>
        <v>14</v>
      </c>
      <c r="W441">
        <f t="shared" si="58"/>
        <v>16</v>
      </c>
      <c r="X441">
        <f t="shared" si="59"/>
        <v>31</v>
      </c>
      <c r="Y441" t="s">
        <v>31</v>
      </c>
      <c r="Z441">
        <v>1</v>
      </c>
      <c r="AA441" t="s">
        <v>66</v>
      </c>
      <c r="AB441" t="s">
        <v>80</v>
      </c>
      <c r="AC441" t="s">
        <v>75</v>
      </c>
      <c r="AD441" t="s">
        <v>68</v>
      </c>
      <c r="AE441" t="s">
        <v>69</v>
      </c>
      <c r="AF441" t="s">
        <v>69</v>
      </c>
      <c r="AG441" t="s">
        <v>56</v>
      </c>
      <c r="AH441" t="s">
        <v>55</v>
      </c>
      <c r="AI441" t="s">
        <v>56</v>
      </c>
      <c r="AJ441" t="s">
        <v>57</v>
      </c>
      <c r="AK441" t="s">
        <v>58</v>
      </c>
      <c r="AL441" t="s">
        <v>59</v>
      </c>
      <c r="AM441" t="s">
        <v>60</v>
      </c>
      <c r="AN441">
        <v>7</v>
      </c>
      <c r="AO441">
        <v>37</v>
      </c>
      <c r="AP441">
        <v>5</v>
      </c>
      <c r="AQ441">
        <v>17</v>
      </c>
      <c r="AR441" t="s">
        <v>55</v>
      </c>
      <c r="AS441" t="s">
        <v>55</v>
      </c>
      <c r="AT441" t="s">
        <v>56</v>
      </c>
      <c r="AU441" t="s">
        <v>62</v>
      </c>
      <c r="AV441" t="s">
        <v>63</v>
      </c>
      <c r="AW441" t="s">
        <v>60</v>
      </c>
      <c r="AX441" t="s">
        <v>60</v>
      </c>
      <c r="AY441">
        <v>3</v>
      </c>
      <c r="AZ441" t="s">
        <v>64</v>
      </c>
      <c r="BA441">
        <v>6</v>
      </c>
      <c r="BB441">
        <v>8</v>
      </c>
      <c r="BC441" t="s">
        <v>70</v>
      </c>
    </row>
    <row r="442" spans="1:55" x14ac:dyDescent="0.2">
      <c r="A442" t="s">
        <v>25</v>
      </c>
      <c r="B442" s="3" t="s">
        <v>8</v>
      </c>
      <c r="C442" s="3">
        <v>0</v>
      </c>
      <c r="D442" s="3">
        <v>5</v>
      </c>
      <c r="E442" s="3">
        <v>6</v>
      </c>
      <c r="F442" s="3">
        <v>0</v>
      </c>
      <c r="G442" s="3"/>
      <c r="H442" s="22">
        <v>1</v>
      </c>
      <c r="I442" s="22">
        <v>0.75</v>
      </c>
      <c r="J442" s="22">
        <v>0.75</v>
      </c>
      <c r="K442" s="22">
        <v>1</v>
      </c>
      <c r="L442" s="22">
        <v>1</v>
      </c>
      <c r="M442" s="22">
        <v>1</v>
      </c>
      <c r="N442" s="22">
        <v>1</v>
      </c>
      <c r="O442" s="22">
        <v>1</v>
      </c>
      <c r="P442" s="22">
        <v>0</v>
      </c>
      <c r="Q442" s="22">
        <v>1</v>
      </c>
      <c r="R442" s="22">
        <v>1</v>
      </c>
      <c r="S442" s="22">
        <v>1</v>
      </c>
      <c r="T442">
        <f t="shared" si="55"/>
        <v>0</v>
      </c>
      <c r="U442">
        <f t="shared" si="56"/>
        <v>5</v>
      </c>
      <c r="V442">
        <f t="shared" si="57"/>
        <v>6</v>
      </c>
      <c r="W442">
        <f t="shared" si="58"/>
        <v>0</v>
      </c>
      <c r="X442">
        <f t="shared" si="59"/>
        <v>0</v>
      </c>
      <c r="Y442" t="s">
        <v>31</v>
      </c>
      <c r="Z442">
        <v>1</v>
      </c>
      <c r="AA442" t="s">
        <v>66</v>
      </c>
      <c r="AB442" t="s">
        <v>71</v>
      </c>
      <c r="AC442" t="s">
        <v>72</v>
      </c>
      <c r="AD442" t="s">
        <v>93</v>
      </c>
      <c r="AE442" t="s">
        <v>69</v>
      </c>
      <c r="AF442" t="s">
        <v>69</v>
      </c>
      <c r="AG442" t="s">
        <v>55</v>
      </c>
      <c r="AH442" t="s">
        <v>55</v>
      </c>
      <c r="AI442" t="s">
        <v>55</v>
      </c>
      <c r="AJ442" t="s">
        <v>57</v>
      </c>
      <c r="AK442" t="s">
        <v>58</v>
      </c>
      <c r="AL442" t="s">
        <v>59</v>
      </c>
      <c r="AM442" t="s">
        <v>60</v>
      </c>
      <c r="AN442">
        <v>6</v>
      </c>
      <c r="AO442">
        <v>34</v>
      </c>
      <c r="AP442">
        <v>5</v>
      </c>
      <c r="AQ442">
        <v>12</v>
      </c>
      <c r="AR442" t="s">
        <v>55</v>
      </c>
      <c r="AS442" t="s">
        <v>61</v>
      </c>
      <c r="AT442" t="s">
        <v>55</v>
      </c>
      <c r="AU442" t="s">
        <v>62</v>
      </c>
      <c r="AV442" t="s">
        <v>63</v>
      </c>
      <c r="AW442" t="s">
        <v>60</v>
      </c>
      <c r="AX442" t="s">
        <v>60</v>
      </c>
      <c r="AY442">
        <v>4</v>
      </c>
      <c r="AZ442" t="s">
        <v>78</v>
      </c>
      <c r="BA442">
        <v>8</v>
      </c>
      <c r="BB442">
        <v>8</v>
      </c>
      <c r="BC442" t="s">
        <v>65</v>
      </c>
    </row>
    <row r="443" spans="1:55" x14ac:dyDescent="0.2">
      <c r="A443" t="s">
        <v>25</v>
      </c>
      <c r="B443" s="3" t="s">
        <v>8</v>
      </c>
      <c r="C443" s="3">
        <v>11</v>
      </c>
      <c r="D443" s="3">
        <v>6</v>
      </c>
      <c r="E443" s="3">
        <v>0</v>
      </c>
      <c r="F443" s="3">
        <v>8</v>
      </c>
      <c r="G443" s="3">
        <v>23</v>
      </c>
      <c r="H443" s="22">
        <v>1</v>
      </c>
      <c r="I443" s="22">
        <v>1</v>
      </c>
      <c r="J443" s="22">
        <v>1</v>
      </c>
      <c r="K443" s="22">
        <v>1</v>
      </c>
      <c r="L443" s="22">
        <v>1</v>
      </c>
      <c r="M443" s="21">
        <v>0</v>
      </c>
      <c r="N443" s="22">
        <v>1</v>
      </c>
      <c r="O443" s="22">
        <v>1</v>
      </c>
      <c r="P443" s="22">
        <v>1</v>
      </c>
      <c r="Q443" s="22">
        <v>0.5</v>
      </c>
      <c r="R443" s="21">
        <v>0</v>
      </c>
      <c r="S443" s="22">
        <v>1</v>
      </c>
      <c r="T443">
        <f t="shared" si="55"/>
        <v>11</v>
      </c>
      <c r="U443">
        <f t="shared" si="56"/>
        <v>6</v>
      </c>
      <c r="V443">
        <f t="shared" si="57"/>
        <v>0</v>
      </c>
      <c r="W443">
        <f t="shared" si="58"/>
        <v>8</v>
      </c>
      <c r="X443">
        <f t="shared" si="59"/>
        <v>23</v>
      </c>
      <c r="Y443" t="s">
        <v>31</v>
      </c>
      <c r="Z443">
        <v>1</v>
      </c>
      <c r="AA443" t="s">
        <v>49</v>
      </c>
      <c r="AB443" t="s">
        <v>50</v>
      </c>
      <c r="AC443" t="s">
        <v>74</v>
      </c>
      <c r="AD443" t="s">
        <v>60</v>
      </c>
      <c r="AE443" t="s">
        <v>69</v>
      </c>
      <c r="AF443" t="s">
        <v>69</v>
      </c>
      <c r="AG443" t="s">
        <v>56</v>
      </c>
      <c r="AH443" t="s">
        <v>55</v>
      </c>
      <c r="AI443" t="s">
        <v>55</v>
      </c>
      <c r="AJ443" t="s">
        <v>57</v>
      </c>
      <c r="AK443" t="s">
        <v>58</v>
      </c>
      <c r="AL443" t="s">
        <v>59</v>
      </c>
      <c r="AM443" t="s">
        <v>60</v>
      </c>
      <c r="AN443">
        <v>7</v>
      </c>
      <c r="AO443">
        <v>34</v>
      </c>
      <c r="AP443">
        <v>5</v>
      </c>
      <c r="AQ443">
        <v>10</v>
      </c>
      <c r="AR443" t="s">
        <v>55</v>
      </c>
      <c r="AS443" t="s">
        <v>61</v>
      </c>
      <c r="AT443" t="s">
        <v>55</v>
      </c>
      <c r="AU443" t="s">
        <v>62</v>
      </c>
      <c r="AV443" t="s">
        <v>63</v>
      </c>
      <c r="AW443" t="s">
        <v>60</v>
      </c>
      <c r="AX443" t="s">
        <v>60</v>
      </c>
      <c r="AY443">
        <v>3</v>
      </c>
      <c r="AZ443" t="s">
        <v>78</v>
      </c>
      <c r="BA443">
        <v>8</v>
      </c>
      <c r="BB443">
        <v>10</v>
      </c>
      <c r="BC443" t="s">
        <v>65</v>
      </c>
    </row>
    <row r="444" spans="1:55" x14ac:dyDescent="0.2">
      <c r="A444" t="s">
        <v>25</v>
      </c>
      <c r="B444" s="3" t="s">
        <v>8</v>
      </c>
      <c r="C444" s="3">
        <v>4</v>
      </c>
      <c r="D444" s="3">
        <v>0</v>
      </c>
      <c r="E444" s="3">
        <v>0</v>
      </c>
      <c r="F444" s="3">
        <v>0</v>
      </c>
      <c r="G444" s="3"/>
      <c r="H444" s="22">
        <v>1</v>
      </c>
      <c r="I444" s="22">
        <v>1</v>
      </c>
      <c r="J444" s="22">
        <v>1</v>
      </c>
      <c r="K444" s="22">
        <v>1</v>
      </c>
      <c r="L444" s="22">
        <v>1</v>
      </c>
      <c r="M444" s="21">
        <v>0</v>
      </c>
      <c r="N444" s="22">
        <v>1</v>
      </c>
      <c r="O444" s="22">
        <v>1</v>
      </c>
      <c r="P444" s="22">
        <v>0</v>
      </c>
      <c r="Q444" s="22">
        <v>1</v>
      </c>
      <c r="R444" s="22">
        <v>1</v>
      </c>
      <c r="S444" s="21">
        <v>0</v>
      </c>
      <c r="T444">
        <f t="shared" si="55"/>
        <v>4</v>
      </c>
      <c r="U444">
        <f t="shared" si="56"/>
        <v>0</v>
      </c>
      <c r="V444">
        <f t="shared" si="57"/>
        <v>0</v>
      </c>
      <c r="W444">
        <f t="shared" si="58"/>
        <v>0</v>
      </c>
      <c r="X444">
        <f t="shared" si="59"/>
        <v>0</v>
      </c>
      <c r="Y444" t="s">
        <v>31</v>
      </c>
      <c r="Z444">
        <v>1</v>
      </c>
      <c r="AA444" t="s">
        <v>49</v>
      </c>
      <c r="AB444" t="s">
        <v>71</v>
      </c>
      <c r="AC444" t="s">
        <v>51</v>
      </c>
      <c r="AD444" t="s">
        <v>93</v>
      </c>
      <c r="AE444" t="s">
        <v>69</v>
      </c>
      <c r="AF444" t="s">
        <v>69</v>
      </c>
      <c r="AG444" t="s">
        <v>55</v>
      </c>
      <c r="AH444" t="s">
        <v>55</v>
      </c>
      <c r="AI444" t="s">
        <v>55</v>
      </c>
      <c r="AJ444" t="s">
        <v>57</v>
      </c>
      <c r="AK444" t="s">
        <v>58</v>
      </c>
      <c r="AL444" t="s">
        <v>59</v>
      </c>
      <c r="AM444" t="s">
        <v>60</v>
      </c>
      <c r="AN444">
        <v>6</v>
      </c>
      <c r="AO444">
        <v>34</v>
      </c>
      <c r="AP444">
        <v>6</v>
      </c>
      <c r="AQ444">
        <v>2</v>
      </c>
      <c r="AR444" t="s">
        <v>55</v>
      </c>
      <c r="AS444" t="s">
        <v>61</v>
      </c>
      <c r="AT444" t="s">
        <v>56</v>
      </c>
      <c r="AU444" t="s">
        <v>62</v>
      </c>
      <c r="AV444" t="s">
        <v>63</v>
      </c>
      <c r="AW444" t="s">
        <v>60</v>
      </c>
      <c r="AX444" t="s">
        <v>60</v>
      </c>
      <c r="AY444">
        <v>5</v>
      </c>
      <c r="AZ444" t="s">
        <v>78</v>
      </c>
      <c r="BA444">
        <v>3</v>
      </c>
      <c r="BB444">
        <v>10</v>
      </c>
      <c r="BC444" t="s">
        <v>70</v>
      </c>
    </row>
    <row r="445" spans="1:55" x14ac:dyDescent="0.2">
      <c r="A445" t="s">
        <v>25</v>
      </c>
      <c r="B445" s="3" t="s">
        <v>8</v>
      </c>
      <c r="C445" s="3">
        <v>7</v>
      </c>
      <c r="D445" s="3">
        <v>9</v>
      </c>
      <c r="E445" s="3">
        <v>7</v>
      </c>
      <c r="F445" s="3">
        <v>11</v>
      </c>
      <c r="G445" s="3">
        <v>12</v>
      </c>
      <c r="H445" s="22">
        <v>1</v>
      </c>
      <c r="I445" s="22">
        <v>0.75</v>
      </c>
      <c r="J445" s="22">
        <v>1</v>
      </c>
      <c r="K445" s="22">
        <v>1</v>
      </c>
      <c r="L445" s="22">
        <v>1</v>
      </c>
      <c r="M445" s="22">
        <v>0.67</v>
      </c>
      <c r="N445" s="22">
        <v>0.75</v>
      </c>
      <c r="O445" s="22">
        <v>1</v>
      </c>
      <c r="P445" s="22">
        <v>1</v>
      </c>
      <c r="Q445" s="22">
        <v>0.25</v>
      </c>
      <c r="R445" s="22">
        <v>1</v>
      </c>
      <c r="S445" s="22">
        <v>1</v>
      </c>
      <c r="T445">
        <f t="shared" si="55"/>
        <v>7</v>
      </c>
      <c r="U445">
        <f t="shared" si="56"/>
        <v>9</v>
      </c>
      <c r="V445">
        <f t="shared" si="57"/>
        <v>7</v>
      </c>
      <c r="W445">
        <f t="shared" si="58"/>
        <v>11</v>
      </c>
      <c r="X445">
        <f t="shared" si="59"/>
        <v>12</v>
      </c>
      <c r="Y445" t="s">
        <v>31</v>
      </c>
      <c r="Z445">
        <v>1</v>
      </c>
      <c r="AA445" t="s">
        <v>49</v>
      </c>
      <c r="AB445" t="s">
        <v>80</v>
      </c>
      <c r="AC445" t="s">
        <v>51</v>
      </c>
      <c r="AD445" t="s">
        <v>83</v>
      </c>
      <c r="AE445" t="s">
        <v>69</v>
      </c>
      <c r="AF445" t="s">
        <v>69</v>
      </c>
      <c r="AG445" t="s">
        <v>56</v>
      </c>
      <c r="AH445" t="s">
        <v>55</v>
      </c>
      <c r="AI445" t="s">
        <v>55</v>
      </c>
      <c r="AJ445" t="s">
        <v>57</v>
      </c>
      <c r="AK445" t="s">
        <v>58</v>
      </c>
      <c r="AL445" t="s">
        <v>59</v>
      </c>
      <c r="AM445" t="s">
        <v>60</v>
      </c>
      <c r="AN445">
        <v>6</v>
      </c>
      <c r="AO445">
        <v>30</v>
      </c>
      <c r="AP445">
        <v>4</v>
      </c>
      <c r="AQ445">
        <v>1</v>
      </c>
      <c r="AR445" t="s">
        <v>55</v>
      </c>
      <c r="AS445" t="s">
        <v>61</v>
      </c>
      <c r="AT445" t="s">
        <v>55</v>
      </c>
      <c r="AU445" t="s">
        <v>62</v>
      </c>
      <c r="AV445" t="s">
        <v>63</v>
      </c>
      <c r="AW445" t="s">
        <v>60</v>
      </c>
      <c r="AX445" t="s">
        <v>60</v>
      </c>
      <c r="AY445">
        <v>1</v>
      </c>
      <c r="AZ445" t="s">
        <v>99</v>
      </c>
      <c r="BA445">
        <v>5</v>
      </c>
      <c r="BB445">
        <v>3</v>
      </c>
      <c r="BC445" t="s">
        <v>70</v>
      </c>
    </row>
    <row r="446" spans="1:55" x14ac:dyDescent="0.2">
      <c r="A446" t="s">
        <v>25</v>
      </c>
      <c r="B446" s="3" t="s">
        <v>8</v>
      </c>
      <c r="C446" s="3">
        <v>12</v>
      </c>
      <c r="D446" s="3">
        <v>9.5</v>
      </c>
      <c r="E446" s="3">
        <v>13</v>
      </c>
      <c r="F446" s="3">
        <v>16</v>
      </c>
      <c r="G446" s="3">
        <v>27.5</v>
      </c>
      <c r="H446" s="22">
        <v>1</v>
      </c>
      <c r="I446" s="22">
        <v>1</v>
      </c>
      <c r="J446" s="22">
        <v>1</v>
      </c>
      <c r="K446" s="22">
        <v>1</v>
      </c>
      <c r="L446" s="22">
        <v>1</v>
      </c>
      <c r="M446" s="22">
        <v>1</v>
      </c>
      <c r="N446" s="22">
        <v>1</v>
      </c>
      <c r="O446" s="22">
        <v>1</v>
      </c>
      <c r="P446" s="22">
        <v>1</v>
      </c>
      <c r="Q446" s="22">
        <v>1</v>
      </c>
      <c r="R446" s="22">
        <v>1</v>
      </c>
      <c r="S446" s="22">
        <v>1</v>
      </c>
      <c r="T446">
        <f t="shared" si="55"/>
        <v>12</v>
      </c>
      <c r="U446">
        <f t="shared" si="56"/>
        <v>9.5</v>
      </c>
      <c r="V446">
        <f t="shared" si="57"/>
        <v>13</v>
      </c>
      <c r="W446">
        <f t="shared" si="58"/>
        <v>16</v>
      </c>
      <c r="X446">
        <f t="shared" si="59"/>
        <v>27.5</v>
      </c>
      <c r="Y446" t="s">
        <v>31</v>
      </c>
      <c r="Z446">
        <v>1</v>
      </c>
      <c r="AA446" t="s">
        <v>66</v>
      </c>
      <c r="AB446" t="s">
        <v>71</v>
      </c>
      <c r="AC446" t="s">
        <v>72</v>
      </c>
      <c r="AD446" t="s">
        <v>93</v>
      </c>
      <c r="AE446" t="s">
        <v>53</v>
      </c>
      <c r="AF446" t="s">
        <v>53</v>
      </c>
      <c r="AG446" t="s">
        <v>55</v>
      </c>
      <c r="AH446" t="s">
        <v>55</v>
      </c>
      <c r="AI446" t="s">
        <v>55</v>
      </c>
      <c r="AJ446" t="s">
        <v>57</v>
      </c>
      <c r="AK446" t="s">
        <v>58</v>
      </c>
      <c r="AL446" t="s">
        <v>59</v>
      </c>
      <c r="AM446" t="s">
        <v>60</v>
      </c>
      <c r="AN446">
        <v>6</v>
      </c>
      <c r="AO446">
        <v>34</v>
      </c>
      <c r="AP446">
        <v>4</v>
      </c>
      <c r="AQ446">
        <v>12</v>
      </c>
      <c r="AR446" t="s">
        <v>55</v>
      </c>
      <c r="AS446" t="s">
        <v>61</v>
      </c>
      <c r="AT446" t="s">
        <v>55</v>
      </c>
      <c r="AU446" t="s">
        <v>62</v>
      </c>
      <c r="AV446" t="s">
        <v>63</v>
      </c>
      <c r="AW446" t="s">
        <v>60</v>
      </c>
      <c r="AX446" t="s">
        <v>60</v>
      </c>
      <c r="AY446">
        <v>3</v>
      </c>
      <c r="AZ446" t="s">
        <v>78</v>
      </c>
      <c r="BA446">
        <v>6</v>
      </c>
      <c r="BB446">
        <v>6</v>
      </c>
      <c r="BC446" t="s">
        <v>82</v>
      </c>
    </row>
    <row r="447" spans="1:55" x14ac:dyDescent="0.2">
      <c r="A447" t="s">
        <v>25</v>
      </c>
      <c r="B447" s="3" t="s">
        <v>8</v>
      </c>
      <c r="C447" s="3">
        <v>10</v>
      </c>
      <c r="D447" s="3">
        <v>10</v>
      </c>
      <c r="E447" s="3">
        <v>8</v>
      </c>
      <c r="F447" s="3">
        <v>14</v>
      </c>
      <c r="G447" s="3">
        <v>20.5</v>
      </c>
      <c r="H447" s="22">
        <v>1</v>
      </c>
      <c r="I447" s="22">
        <v>1</v>
      </c>
      <c r="J447" s="22">
        <v>1</v>
      </c>
      <c r="K447" s="22">
        <v>1</v>
      </c>
      <c r="L447" s="22">
        <v>0.5</v>
      </c>
      <c r="M447" s="22">
        <v>1</v>
      </c>
      <c r="N447" s="22">
        <v>1</v>
      </c>
      <c r="O447" s="22">
        <v>1</v>
      </c>
      <c r="P447" s="22">
        <v>1</v>
      </c>
      <c r="Q447" s="22">
        <v>0.25</v>
      </c>
      <c r="R447" s="22">
        <v>1</v>
      </c>
      <c r="S447" s="22">
        <v>1</v>
      </c>
      <c r="T447">
        <f t="shared" si="55"/>
        <v>10</v>
      </c>
      <c r="U447">
        <f t="shared" si="56"/>
        <v>10</v>
      </c>
      <c r="V447">
        <f t="shared" si="57"/>
        <v>8</v>
      </c>
      <c r="W447">
        <f t="shared" si="58"/>
        <v>14</v>
      </c>
      <c r="X447">
        <f t="shared" si="59"/>
        <v>20.5</v>
      </c>
      <c r="Y447" t="s">
        <v>31</v>
      </c>
      <c r="Z447">
        <v>1</v>
      </c>
      <c r="AA447" t="s">
        <v>66</v>
      </c>
      <c r="AB447" t="s">
        <v>71</v>
      </c>
      <c r="AC447" t="s">
        <v>51</v>
      </c>
      <c r="AD447" t="s">
        <v>93</v>
      </c>
      <c r="AE447" t="s">
        <v>95</v>
      </c>
      <c r="AF447" t="s">
        <v>53</v>
      </c>
      <c r="AG447" t="s">
        <v>55</v>
      </c>
      <c r="AH447" t="s">
        <v>55</v>
      </c>
      <c r="AI447" t="s">
        <v>55</v>
      </c>
      <c r="AJ447" t="s">
        <v>57</v>
      </c>
      <c r="AK447" t="s">
        <v>58</v>
      </c>
      <c r="AL447" t="s">
        <v>59</v>
      </c>
      <c r="AM447" t="s">
        <v>60</v>
      </c>
      <c r="AN447">
        <v>7</v>
      </c>
      <c r="AO447">
        <v>34</v>
      </c>
      <c r="AP447">
        <v>5</v>
      </c>
      <c r="AQ447">
        <v>5</v>
      </c>
      <c r="AR447" t="s">
        <v>55</v>
      </c>
      <c r="AS447" t="s">
        <v>61</v>
      </c>
      <c r="AT447" t="s">
        <v>56</v>
      </c>
      <c r="AU447" t="s">
        <v>62</v>
      </c>
      <c r="AV447" t="s">
        <v>63</v>
      </c>
      <c r="AW447" t="s">
        <v>60</v>
      </c>
      <c r="AX447" t="s">
        <v>60</v>
      </c>
      <c r="AY447">
        <v>2</v>
      </c>
      <c r="AZ447" t="s">
        <v>64</v>
      </c>
      <c r="BA447">
        <v>4</v>
      </c>
      <c r="BB447">
        <v>8</v>
      </c>
      <c r="BC447" t="s">
        <v>65</v>
      </c>
    </row>
    <row r="448" spans="1:55" x14ac:dyDescent="0.2">
      <c r="A448" t="s">
        <v>25</v>
      </c>
      <c r="B448" s="3" t="s">
        <v>8</v>
      </c>
      <c r="C448" s="3">
        <v>4</v>
      </c>
      <c r="D448" s="3">
        <v>0</v>
      </c>
      <c r="E448" s="3">
        <v>0</v>
      </c>
      <c r="F448" s="3">
        <v>0</v>
      </c>
      <c r="G448" s="3"/>
      <c r="H448" s="22">
        <v>1</v>
      </c>
      <c r="I448" s="22">
        <v>1</v>
      </c>
      <c r="J448" s="22">
        <v>1</v>
      </c>
      <c r="K448" s="22">
        <v>1</v>
      </c>
      <c r="L448" s="21">
        <v>0</v>
      </c>
      <c r="M448" s="21">
        <v>0</v>
      </c>
      <c r="N448" s="21">
        <v>0</v>
      </c>
      <c r="O448" s="21">
        <v>0</v>
      </c>
      <c r="P448" s="22">
        <v>0</v>
      </c>
      <c r="Q448" s="21">
        <v>0</v>
      </c>
      <c r="R448" s="21">
        <v>0</v>
      </c>
      <c r="S448" s="21">
        <v>0</v>
      </c>
      <c r="T448">
        <f t="shared" si="55"/>
        <v>4</v>
      </c>
      <c r="U448">
        <f t="shared" si="56"/>
        <v>0</v>
      </c>
      <c r="V448">
        <f t="shared" si="57"/>
        <v>0</v>
      </c>
      <c r="W448">
        <f t="shared" si="58"/>
        <v>0</v>
      </c>
      <c r="X448">
        <f t="shared" si="59"/>
        <v>0</v>
      </c>
      <c r="Y448" t="s">
        <v>31</v>
      </c>
      <c r="Z448">
        <v>1</v>
      </c>
      <c r="AA448" t="s">
        <v>49</v>
      </c>
      <c r="AB448" t="s">
        <v>71</v>
      </c>
      <c r="AC448" t="s">
        <v>51</v>
      </c>
      <c r="AD448" t="s">
        <v>93</v>
      </c>
      <c r="AE448" t="s">
        <v>53</v>
      </c>
      <c r="AF448" t="s">
        <v>53</v>
      </c>
      <c r="AG448" t="s">
        <v>55</v>
      </c>
      <c r="AH448" t="s">
        <v>55</v>
      </c>
      <c r="AI448" t="s">
        <v>55</v>
      </c>
      <c r="AJ448" t="s">
        <v>57</v>
      </c>
      <c r="AK448" t="s">
        <v>58</v>
      </c>
      <c r="AL448" t="s">
        <v>59</v>
      </c>
      <c r="AM448" t="s">
        <v>60</v>
      </c>
      <c r="AN448">
        <v>7</v>
      </c>
      <c r="AO448">
        <v>34</v>
      </c>
      <c r="AP448">
        <v>5</v>
      </c>
      <c r="AQ448">
        <v>4</v>
      </c>
      <c r="AR448" t="s">
        <v>55</v>
      </c>
      <c r="AS448" t="s">
        <v>61</v>
      </c>
      <c r="AT448" t="s">
        <v>55</v>
      </c>
      <c r="AU448" t="s">
        <v>62</v>
      </c>
      <c r="AV448" t="s">
        <v>63</v>
      </c>
      <c r="AW448" t="s">
        <v>60</v>
      </c>
      <c r="AX448" t="s">
        <v>60</v>
      </c>
      <c r="AY448">
        <v>2</v>
      </c>
      <c r="AZ448" t="s">
        <v>78</v>
      </c>
      <c r="BA448">
        <v>7</v>
      </c>
      <c r="BB448">
        <v>8</v>
      </c>
      <c r="BC448" t="s">
        <v>70</v>
      </c>
    </row>
    <row r="449" spans="1:55" x14ac:dyDescent="0.2">
      <c r="A449" t="s">
        <v>25</v>
      </c>
      <c r="B449" s="3" t="s">
        <v>8</v>
      </c>
      <c r="C449" s="3">
        <v>7.5</v>
      </c>
      <c r="D449" s="3">
        <v>9</v>
      </c>
      <c r="E449" s="3">
        <v>0</v>
      </c>
      <c r="F449" s="3">
        <v>0</v>
      </c>
      <c r="G449" s="3"/>
      <c r="H449" s="22">
        <v>1</v>
      </c>
      <c r="I449" s="22">
        <v>1</v>
      </c>
      <c r="J449" s="22">
        <v>0.75</v>
      </c>
      <c r="K449" s="22">
        <v>1</v>
      </c>
      <c r="L449" s="22">
        <v>0.5</v>
      </c>
      <c r="M449" s="22">
        <v>1</v>
      </c>
      <c r="N449" s="22">
        <v>1</v>
      </c>
      <c r="O449" s="22">
        <v>1</v>
      </c>
      <c r="P449" s="22">
        <v>1</v>
      </c>
      <c r="Q449" s="21">
        <v>0</v>
      </c>
      <c r="R449" s="21">
        <v>0</v>
      </c>
      <c r="S449" s="22">
        <v>1</v>
      </c>
      <c r="T449">
        <f t="shared" si="55"/>
        <v>7.5</v>
      </c>
      <c r="U449">
        <f t="shared" si="56"/>
        <v>9</v>
      </c>
      <c r="V449">
        <f t="shared" si="57"/>
        <v>0</v>
      </c>
      <c r="W449">
        <f t="shared" si="58"/>
        <v>0</v>
      </c>
      <c r="X449">
        <f t="shared" si="59"/>
        <v>0</v>
      </c>
      <c r="Y449" t="s">
        <v>31</v>
      </c>
      <c r="Z449">
        <v>1</v>
      </c>
      <c r="AA449" t="s">
        <v>66</v>
      </c>
      <c r="AB449" t="s">
        <v>71</v>
      </c>
      <c r="AC449" t="s">
        <v>74</v>
      </c>
      <c r="AD449" t="s">
        <v>60</v>
      </c>
      <c r="AE449" t="s">
        <v>69</v>
      </c>
      <c r="AF449" t="s">
        <v>69</v>
      </c>
      <c r="AG449" t="s">
        <v>55</v>
      </c>
      <c r="AH449" t="s">
        <v>55</v>
      </c>
      <c r="AI449" t="s">
        <v>55</v>
      </c>
      <c r="AJ449" t="s">
        <v>57</v>
      </c>
      <c r="AK449" t="s">
        <v>58</v>
      </c>
      <c r="AL449" t="s">
        <v>59</v>
      </c>
      <c r="AM449" t="s">
        <v>60</v>
      </c>
      <c r="AN449">
        <v>6</v>
      </c>
      <c r="AO449">
        <v>34</v>
      </c>
      <c r="AP449">
        <v>5</v>
      </c>
      <c r="AQ449">
        <v>17</v>
      </c>
      <c r="AR449" t="s">
        <v>55</v>
      </c>
      <c r="AS449" t="s">
        <v>61</v>
      </c>
      <c r="AT449" t="s">
        <v>56</v>
      </c>
      <c r="AU449" t="s">
        <v>62</v>
      </c>
      <c r="AV449" t="s">
        <v>63</v>
      </c>
      <c r="AW449" t="s">
        <v>60</v>
      </c>
      <c r="AX449" t="s">
        <v>60</v>
      </c>
      <c r="AY449">
        <v>3</v>
      </c>
      <c r="AZ449" t="s">
        <v>64</v>
      </c>
      <c r="BA449">
        <v>7</v>
      </c>
      <c r="BB449">
        <v>9</v>
      </c>
      <c r="BC449" t="s">
        <v>70</v>
      </c>
    </row>
    <row r="450" spans="1:55" x14ac:dyDescent="0.2">
      <c r="A450" t="s">
        <v>25</v>
      </c>
      <c r="B450" s="3" t="s">
        <v>8</v>
      </c>
      <c r="C450" s="3">
        <v>12</v>
      </c>
      <c r="D450" s="3">
        <v>6.5</v>
      </c>
      <c r="E450" s="3">
        <v>15</v>
      </c>
      <c r="F450" s="3">
        <v>14</v>
      </c>
      <c r="G450" s="3">
        <v>24.5</v>
      </c>
      <c r="H450" s="22">
        <v>1</v>
      </c>
      <c r="I450" s="22">
        <v>1</v>
      </c>
      <c r="J450" s="22">
        <v>1</v>
      </c>
      <c r="K450" s="22">
        <v>1</v>
      </c>
      <c r="L450" s="22">
        <v>0.75</v>
      </c>
      <c r="M450" s="22">
        <v>1</v>
      </c>
      <c r="N450" s="22">
        <v>1</v>
      </c>
      <c r="O450" s="22">
        <v>1</v>
      </c>
      <c r="P450" s="22">
        <v>1</v>
      </c>
      <c r="Q450" s="22">
        <v>0.5</v>
      </c>
      <c r="R450" s="22">
        <v>1</v>
      </c>
      <c r="S450" s="22">
        <v>1</v>
      </c>
      <c r="T450">
        <f t="shared" si="55"/>
        <v>12</v>
      </c>
      <c r="U450">
        <f t="shared" si="56"/>
        <v>6.5</v>
      </c>
      <c r="V450">
        <f t="shared" si="57"/>
        <v>15</v>
      </c>
      <c r="W450">
        <f t="shared" si="58"/>
        <v>14</v>
      </c>
      <c r="X450">
        <f t="shared" si="59"/>
        <v>24.5</v>
      </c>
      <c r="Y450" t="s">
        <v>31</v>
      </c>
      <c r="Z450">
        <v>1</v>
      </c>
      <c r="AA450" t="s">
        <v>66</v>
      </c>
      <c r="AB450" t="s">
        <v>71</v>
      </c>
      <c r="AC450" t="s">
        <v>72</v>
      </c>
      <c r="AD450" t="s">
        <v>93</v>
      </c>
      <c r="AE450" t="s">
        <v>53</v>
      </c>
      <c r="AF450" t="s">
        <v>53</v>
      </c>
      <c r="AG450" t="s">
        <v>55</v>
      </c>
      <c r="AH450" t="s">
        <v>55</v>
      </c>
      <c r="AI450" t="s">
        <v>55</v>
      </c>
      <c r="AJ450" t="s">
        <v>57</v>
      </c>
      <c r="AK450" t="s">
        <v>58</v>
      </c>
      <c r="AL450" t="s">
        <v>59</v>
      </c>
      <c r="AM450" t="s">
        <v>60</v>
      </c>
      <c r="AN450">
        <v>8</v>
      </c>
      <c r="AO450">
        <v>37</v>
      </c>
      <c r="AP450">
        <v>6</v>
      </c>
      <c r="AQ450">
        <v>5</v>
      </c>
      <c r="AR450" t="s">
        <v>55</v>
      </c>
      <c r="AS450" t="s">
        <v>61</v>
      </c>
      <c r="AT450" t="s">
        <v>55</v>
      </c>
      <c r="AU450" t="s">
        <v>62</v>
      </c>
      <c r="AV450" t="s">
        <v>63</v>
      </c>
      <c r="AW450" t="s">
        <v>60</v>
      </c>
      <c r="AX450" t="s">
        <v>60</v>
      </c>
      <c r="AY450">
        <v>5</v>
      </c>
      <c r="AZ450" t="s">
        <v>64</v>
      </c>
      <c r="BA450">
        <v>5</v>
      </c>
      <c r="BB450">
        <v>10</v>
      </c>
      <c r="BC450" t="s">
        <v>70</v>
      </c>
    </row>
    <row r="451" spans="1:55" x14ac:dyDescent="0.2">
      <c r="A451" t="s">
        <v>25</v>
      </c>
      <c r="B451" s="3" t="s">
        <v>8</v>
      </c>
      <c r="C451" s="3">
        <v>6</v>
      </c>
      <c r="D451" s="3">
        <v>5</v>
      </c>
      <c r="E451" s="3">
        <v>7</v>
      </c>
      <c r="F451" s="3">
        <v>10</v>
      </c>
      <c r="G451" s="3">
        <v>19</v>
      </c>
      <c r="H451" s="22">
        <v>1</v>
      </c>
      <c r="I451" s="22">
        <v>1</v>
      </c>
      <c r="J451" s="22">
        <v>1</v>
      </c>
      <c r="K451" s="22">
        <v>1</v>
      </c>
      <c r="L451" s="22">
        <v>0.5</v>
      </c>
      <c r="M451" s="22">
        <v>1</v>
      </c>
      <c r="N451" s="22">
        <v>1</v>
      </c>
      <c r="O451" s="22">
        <v>1</v>
      </c>
      <c r="P451" s="22">
        <v>1</v>
      </c>
      <c r="Q451" s="22">
        <v>1</v>
      </c>
      <c r="R451" s="22">
        <v>1</v>
      </c>
      <c r="S451" s="22">
        <v>1</v>
      </c>
      <c r="T451">
        <f t="shared" si="55"/>
        <v>6</v>
      </c>
      <c r="U451">
        <f t="shared" si="56"/>
        <v>5</v>
      </c>
      <c r="V451">
        <f t="shared" si="57"/>
        <v>7</v>
      </c>
      <c r="W451">
        <f t="shared" si="58"/>
        <v>10</v>
      </c>
      <c r="X451">
        <f t="shared" si="59"/>
        <v>19</v>
      </c>
      <c r="Y451" t="s">
        <v>31</v>
      </c>
      <c r="Z451">
        <v>1</v>
      </c>
      <c r="AA451" t="s">
        <v>49</v>
      </c>
      <c r="AB451" t="s">
        <v>50</v>
      </c>
      <c r="AC451" t="s">
        <v>74</v>
      </c>
      <c r="AD451" t="s">
        <v>60</v>
      </c>
      <c r="AE451" t="s">
        <v>53</v>
      </c>
      <c r="AF451" t="s">
        <v>54</v>
      </c>
      <c r="AG451" t="s">
        <v>55</v>
      </c>
      <c r="AH451" t="s">
        <v>55</v>
      </c>
      <c r="AI451" t="s">
        <v>56</v>
      </c>
      <c r="AJ451" t="s">
        <v>57</v>
      </c>
      <c r="AK451" t="s">
        <v>58</v>
      </c>
      <c r="AL451" t="s">
        <v>59</v>
      </c>
      <c r="AM451" t="s">
        <v>60</v>
      </c>
      <c r="AN451">
        <v>6</v>
      </c>
      <c r="AO451">
        <v>34</v>
      </c>
      <c r="AP451">
        <v>5</v>
      </c>
      <c r="AQ451">
        <v>10</v>
      </c>
      <c r="AR451" t="s">
        <v>55</v>
      </c>
      <c r="AS451" t="s">
        <v>61</v>
      </c>
      <c r="AT451" t="s">
        <v>56</v>
      </c>
      <c r="AU451" t="s">
        <v>62</v>
      </c>
      <c r="AV451" t="s">
        <v>63</v>
      </c>
      <c r="AW451" t="s">
        <v>60</v>
      </c>
      <c r="AX451" t="s">
        <v>60</v>
      </c>
      <c r="AY451">
        <v>4</v>
      </c>
      <c r="AZ451" t="s">
        <v>64</v>
      </c>
      <c r="BA451">
        <v>7</v>
      </c>
      <c r="BB451">
        <v>8</v>
      </c>
      <c r="BC451" t="s">
        <v>70</v>
      </c>
    </row>
    <row r="452" spans="1:55" x14ac:dyDescent="0.2">
      <c r="A452" t="s">
        <v>25</v>
      </c>
      <c r="B452" s="3" t="s">
        <v>8</v>
      </c>
      <c r="C452" s="3">
        <v>4</v>
      </c>
      <c r="D452" s="3">
        <v>0</v>
      </c>
      <c r="E452" s="3">
        <v>0</v>
      </c>
      <c r="F452" s="3">
        <v>0</v>
      </c>
      <c r="G452" s="3"/>
      <c r="H452" s="22">
        <v>1</v>
      </c>
      <c r="I452" s="22">
        <v>0.75</v>
      </c>
      <c r="J452" s="22">
        <v>1</v>
      </c>
      <c r="K452" s="21">
        <v>0</v>
      </c>
      <c r="L452" s="21">
        <v>0</v>
      </c>
      <c r="M452" s="21">
        <v>0</v>
      </c>
      <c r="N452" s="21">
        <v>0</v>
      </c>
      <c r="O452" s="21">
        <v>0</v>
      </c>
      <c r="P452" s="22">
        <v>0</v>
      </c>
      <c r="Q452" s="21">
        <v>0</v>
      </c>
      <c r="R452" s="21">
        <v>0</v>
      </c>
      <c r="S452" s="21">
        <v>0</v>
      </c>
      <c r="T452">
        <f t="shared" si="55"/>
        <v>4</v>
      </c>
      <c r="U452">
        <f t="shared" si="56"/>
        <v>0</v>
      </c>
      <c r="V452">
        <f t="shared" si="57"/>
        <v>0</v>
      </c>
      <c r="W452">
        <f t="shared" si="58"/>
        <v>0</v>
      </c>
      <c r="X452">
        <f t="shared" si="59"/>
        <v>0</v>
      </c>
      <c r="Y452" t="s">
        <v>31</v>
      </c>
      <c r="Z452">
        <v>1</v>
      </c>
      <c r="AA452" t="s">
        <v>66</v>
      </c>
      <c r="AB452" t="s">
        <v>80</v>
      </c>
      <c r="AC452" t="s">
        <v>72</v>
      </c>
      <c r="AD452" t="s">
        <v>93</v>
      </c>
      <c r="AE452" t="s">
        <v>69</v>
      </c>
      <c r="AF452" t="s">
        <v>69</v>
      </c>
      <c r="AG452" t="s">
        <v>55</v>
      </c>
      <c r="AH452" t="s">
        <v>55</v>
      </c>
      <c r="AI452" t="s">
        <v>55</v>
      </c>
      <c r="AJ452" t="s">
        <v>57</v>
      </c>
      <c r="AK452" t="s">
        <v>58</v>
      </c>
      <c r="AL452" t="s">
        <v>59</v>
      </c>
      <c r="AM452" t="s">
        <v>60</v>
      </c>
      <c r="AN452">
        <v>5</v>
      </c>
      <c r="AO452">
        <v>28</v>
      </c>
      <c r="AP452">
        <v>4</v>
      </c>
      <c r="AQ452">
        <v>3</v>
      </c>
      <c r="AR452" t="s">
        <v>55</v>
      </c>
      <c r="AS452" t="s">
        <v>55</v>
      </c>
      <c r="AT452" t="s">
        <v>55</v>
      </c>
      <c r="AU452" t="s">
        <v>62</v>
      </c>
      <c r="AV452" t="s">
        <v>63</v>
      </c>
      <c r="AW452" t="s">
        <v>60</v>
      </c>
      <c r="AX452" t="s">
        <v>60</v>
      </c>
      <c r="AY452">
        <v>4</v>
      </c>
      <c r="AZ452" t="s">
        <v>78</v>
      </c>
      <c r="BA452">
        <v>9</v>
      </c>
      <c r="BB452">
        <v>10</v>
      </c>
      <c r="BC452" t="s">
        <v>82</v>
      </c>
    </row>
    <row r="453" spans="1:55" x14ac:dyDescent="0.2">
      <c r="A453" t="s">
        <v>25</v>
      </c>
      <c r="B453" s="3" t="s">
        <v>8</v>
      </c>
      <c r="C453" s="3">
        <v>4</v>
      </c>
      <c r="D453" s="3">
        <v>0</v>
      </c>
      <c r="E453" s="3">
        <v>4.5</v>
      </c>
      <c r="F453" s="3">
        <v>5</v>
      </c>
      <c r="G453" s="3"/>
      <c r="H453" s="22">
        <v>0.75</v>
      </c>
      <c r="I453" s="22">
        <v>0.75</v>
      </c>
      <c r="J453" s="22">
        <v>0.75</v>
      </c>
      <c r="K453" s="22">
        <v>1</v>
      </c>
      <c r="L453" s="22">
        <v>1</v>
      </c>
      <c r="M453" s="22">
        <v>1</v>
      </c>
      <c r="N453" s="22">
        <v>1</v>
      </c>
      <c r="O453" s="21">
        <v>0</v>
      </c>
      <c r="P453" s="22">
        <v>1</v>
      </c>
      <c r="Q453" s="22">
        <v>0.5</v>
      </c>
      <c r="R453" s="22">
        <v>1</v>
      </c>
      <c r="S453" s="22">
        <v>1</v>
      </c>
      <c r="T453">
        <f t="shared" si="55"/>
        <v>4</v>
      </c>
      <c r="U453">
        <f t="shared" si="56"/>
        <v>0</v>
      </c>
      <c r="V453">
        <f t="shared" si="57"/>
        <v>4.5</v>
      </c>
      <c r="W453">
        <f t="shared" si="58"/>
        <v>5</v>
      </c>
      <c r="X453">
        <f t="shared" si="59"/>
        <v>0</v>
      </c>
      <c r="Y453" t="s">
        <v>31</v>
      </c>
      <c r="Z453">
        <v>1</v>
      </c>
      <c r="AA453" t="s">
        <v>49</v>
      </c>
      <c r="AB453" t="s">
        <v>116</v>
      </c>
      <c r="AC453" t="s">
        <v>75</v>
      </c>
      <c r="AD453" t="s">
        <v>77</v>
      </c>
      <c r="AE453" t="s">
        <v>69</v>
      </c>
      <c r="AF453" t="s">
        <v>53</v>
      </c>
      <c r="AG453" t="s">
        <v>55</v>
      </c>
      <c r="AH453" t="s">
        <v>55</v>
      </c>
      <c r="AI453" t="s">
        <v>55</v>
      </c>
      <c r="AJ453" t="s">
        <v>57</v>
      </c>
      <c r="AK453" t="s">
        <v>79</v>
      </c>
      <c r="AL453" t="s">
        <v>105</v>
      </c>
      <c r="AM453">
        <v>0</v>
      </c>
      <c r="AN453">
        <v>9</v>
      </c>
      <c r="AO453">
        <v>41</v>
      </c>
      <c r="AP453">
        <v>6</v>
      </c>
      <c r="AQ453">
        <v>12</v>
      </c>
      <c r="AR453" t="s">
        <v>55</v>
      </c>
      <c r="AS453" t="s">
        <v>55</v>
      </c>
      <c r="AT453" t="s">
        <v>55</v>
      </c>
      <c r="AU453" t="s">
        <v>62</v>
      </c>
      <c r="AV453" t="s">
        <v>117</v>
      </c>
      <c r="AW453" t="s">
        <v>98</v>
      </c>
      <c r="AX453" t="s">
        <v>60</v>
      </c>
      <c r="AY453" t="s">
        <v>60</v>
      </c>
      <c r="AZ453" t="s">
        <v>99</v>
      </c>
      <c r="BA453">
        <v>5</v>
      </c>
      <c r="BB453">
        <v>7</v>
      </c>
      <c r="BC453" t="s">
        <v>65</v>
      </c>
    </row>
    <row r="454" spans="1:55" x14ac:dyDescent="0.2">
      <c r="A454" t="s">
        <v>25</v>
      </c>
      <c r="B454" s="3" t="s">
        <v>8</v>
      </c>
      <c r="C454" s="3">
        <v>8</v>
      </c>
      <c r="D454" s="3">
        <v>6</v>
      </c>
      <c r="E454" s="3">
        <v>14</v>
      </c>
      <c r="F454" s="3">
        <v>16</v>
      </c>
      <c r="G454" s="3">
        <v>29</v>
      </c>
      <c r="H454" s="22">
        <v>1</v>
      </c>
      <c r="I454" s="22">
        <v>1</v>
      </c>
      <c r="J454" s="22">
        <v>1</v>
      </c>
      <c r="K454" s="22">
        <v>1</v>
      </c>
      <c r="L454" s="22">
        <v>1</v>
      </c>
      <c r="M454" s="22">
        <v>1</v>
      </c>
      <c r="N454" s="22">
        <v>1</v>
      </c>
      <c r="O454" s="22">
        <v>1</v>
      </c>
      <c r="P454" s="22">
        <v>1</v>
      </c>
      <c r="Q454" s="22">
        <v>0.5</v>
      </c>
      <c r="R454" s="22">
        <v>1</v>
      </c>
      <c r="S454" s="22">
        <v>1</v>
      </c>
      <c r="T454">
        <f t="shared" si="55"/>
        <v>8</v>
      </c>
      <c r="U454">
        <f t="shared" si="56"/>
        <v>6</v>
      </c>
      <c r="V454">
        <f t="shared" si="57"/>
        <v>14</v>
      </c>
      <c r="W454">
        <f t="shared" si="58"/>
        <v>16</v>
      </c>
      <c r="X454">
        <f t="shared" si="59"/>
        <v>29</v>
      </c>
      <c r="Y454" t="s">
        <v>31</v>
      </c>
      <c r="Z454">
        <v>1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</row>
    <row r="455" spans="1:55" x14ac:dyDescent="0.2">
      <c r="A455" t="s">
        <v>25</v>
      </c>
      <c r="B455" s="3" t="s">
        <v>8</v>
      </c>
      <c r="C455" s="3">
        <v>9</v>
      </c>
      <c r="D455" s="3">
        <v>9.5</v>
      </c>
      <c r="E455" s="3">
        <v>8</v>
      </c>
      <c r="F455" s="3">
        <v>0</v>
      </c>
      <c r="G455" s="3">
        <v>26.5</v>
      </c>
      <c r="H455" s="22">
        <v>1</v>
      </c>
      <c r="I455" s="22">
        <v>0.75</v>
      </c>
      <c r="J455" s="22">
        <v>1</v>
      </c>
      <c r="K455" s="22">
        <v>1</v>
      </c>
      <c r="L455" s="22">
        <v>0.75</v>
      </c>
      <c r="M455" s="22">
        <v>1</v>
      </c>
      <c r="N455" s="22">
        <v>1</v>
      </c>
      <c r="O455" s="22">
        <v>1</v>
      </c>
      <c r="P455" s="22">
        <v>1</v>
      </c>
      <c r="Q455" s="22">
        <v>0</v>
      </c>
      <c r="R455" s="22">
        <v>1</v>
      </c>
      <c r="S455" s="22">
        <v>1</v>
      </c>
      <c r="T455">
        <f t="shared" si="55"/>
        <v>9</v>
      </c>
      <c r="U455">
        <f t="shared" si="56"/>
        <v>9.5</v>
      </c>
      <c r="V455">
        <f t="shared" si="57"/>
        <v>8</v>
      </c>
      <c r="W455">
        <f t="shared" si="58"/>
        <v>0</v>
      </c>
      <c r="X455">
        <f t="shared" si="59"/>
        <v>26.5</v>
      </c>
      <c r="Y455" t="s">
        <v>31</v>
      </c>
      <c r="Z455">
        <v>1</v>
      </c>
      <c r="AA455" t="s">
        <v>49</v>
      </c>
      <c r="AB455" t="s">
        <v>71</v>
      </c>
      <c r="AC455" t="s">
        <v>51</v>
      </c>
      <c r="AD455" t="s">
        <v>93</v>
      </c>
      <c r="AE455" t="s">
        <v>53</v>
      </c>
      <c r="AF455" t="s">
        <v>69</v>
      </c>
      <c r="AG455" t="s">
        <v>55</v>
      </c>
      <c r="AH455" t="s">
        <v>55</v>
      </c>
      <c r="AI455" t="s">
        <v>55</v>
      </c>
      <c r="AJ455" t="s">
        <v>57</v>
      </c>
      <c r="AK455" t="s">
        <v>58</v>
      </c>
      <c r="AL455" t="s">
        <v>59</v>
      </c>
      <c r="AM455" t="s">
        <v>60</v>
      </c>
      <c r="AN455">
        <v>7</v>
      </c>
      <c r="AO455">
        <v>34</v>
      </c>
      <c r="AP455">
        <v>5</v>
      </c>
      <c r="AQ455">
        <v>10</v>
      </c>
      <c r="AR455" t="s">
        <v>55</v>
      </c>
      <c r="AS455" t="s">
        <v>55</v>
      </c>
      <c r="AT455" t="s">
        <v>55</v>
      </c>
      <c r="AU455" t="s">
        <v>62</v>
      </c>
      <c r="AV455" t="s">
        <v>63</v>
      </c>
      <c r="AW455" t="s">
        <v>60</v>
      </c>
      <c r="AX455" t="s">
        <v>60</v>
      </c>
      <c r="AY455">
        <v>3</v>
      </c>
      <c r="AZ455" t="s">
        <v>78</v>
      </c>
      <c r="BA455">
        <v>6</v>
      </c>
      <c r="BB455">
        <v>10</v>
      </c>
      <c r="BC455" t="s">
        <v>82</v>
      </c>
    </row>
    <row r="456" spans="1:55" x14ac:dyDescent="0.2">
      <c r="A456" t="s">
        <v>25</v>
      </c>
      <c r="B456" s="3" t="s">
        <v>8</v>
      </c>
      <c r="C456" s="3">
        <v>10</v>
      </c>
      <c r="D456" s="3">
        <v>7</v>
      </c>
      <c r="E456" s="3">
        <v>11.5</v>
      </c>
      <c r="F456" s="3">
        <v>11</v>
      </c>
      <c r="G456" s="3">
        <v>26</v>
      </c>
      <c r="H456" s="22">
        <v>1</v>
      </c>
      <c r="I456" s="22">
        <v>1</v>
      </c>
      <c r="J456" s="22">
        <v>1</v>
      </c>
      <c r="K456" s="22">
        <v>1</v>
      </c>
      <c r="L456" s="22">
        <v>1</v>
      </c>
      <c r="M456" s="21">
        <v>0</v>
      </c>
      <c r="N456" s="22">
        <v>1</v>
      </c>
      <c r="O456" s="22">
        <v>1</v>
      </c>
      <c r="P456" s="22">
        <v>1</v>
      </c>
      <c r="Q456" s="22">
        <v>0.75</v>
      </c>
      <c r="R456" s="22">
        <v>1</v>
      </c>
      <c r="S456" s="22">
        <v>1</v>
      </c>
      <c r="T456">
        <f t="shared" si="55"/>
        <v>10</v>
      </c>
      <c r="U456">
        <f t="shared" si="56"/>
        <v>7</v>
      </c>
      <c r="V456">
        <f t="shared" si="57"/>
        <v>11.5</v>
      </c>
      <c r="W456">
        <f t="shared" si="58"/>
        <v>11</v>
      </c>
      <c r="X456">
        <f t="shared" si="59"/>
        <v>26</v>
      </c>
      <c r="Y456" t="s">
        <v>31</v>
      </c>
      <c r="Z456">
        <v>1</v>
      </c>
      <c r="AA456" t="s">
        <v>66</v>
      </c>
      <c r="AB456" t="s">
        <v>71</v>
      </c>
      <c r="AC456" t="s">
        <v>74</v>
      </c>
      <c r="AD456" t="s">
        <v>60</v>
      </c>
      <c r="AE456" t="s">
        <v>53</v>
      </c>
      <c r="AF456" t="s">
        <v>53</v>
      </c>
      <c r="AG456" t="s">
        <v>56</v>
      </c>
      <c r="AH456" t="s">
        <v>55</v>
      </c>
      <c r="AI456" t="s">
        <v>56</v>
      </c>
      <c r="AJ456" t="s">
        <v>57</v>
      </c>
      <c r="AK456" t="s">
        <v>58</v>
      </c>
      <c r="AL456" t="s">
        <v>59</v>
      </c>
      <c r="AM456" t="s">
        <v>60</v>
      </c>
      <c r="AN456">
        <v>6</v>
      </c>
      <c r="AO456">
        <v>34</v>
      </c>
      <c r="AP456">
        <v>5</v>
      </c>
      <c r="AQ456">
        <v>17</v>
      </c>
      <c r="AR456" t="s">
        <v>55</v>
      </c>
      <c r="AS456" t="s">
        <v>61</v>
      </c>
      <c r="AT456" t="s">
        <v>55</v>
      </c>
      <c r="AU456" t="s">
        <v>62</v>
      </c>
      <c r="AV456" t="s">
        <v>63</v>
      </c>
      <c r="AW456" t="s">
        <v>60</v>
      </c>
      <c r="AX456" t="s">
        <v>60</v>
      </c>
      <c r="AY456">
        <v>4</v>
      </c>
      <c r="AZ456" t="s">
        <v>78</v>
      </c>
      <c r="BA456">
        <v>8</v>
      </c>
      <c r="BB456">
        <v>7</v>
      </c>
      <c r="BC456" t="s">
        <v>82</v>
      </c>
    </row>
    <row r="457" spans="1:55" x14ac:dyDescent="0.2">
      <c r="A457" t="s">
        <v>25</v>
      </c>
      <c r="B457" s="3" t="s">
        <v>8</v>
      </c>
      <c r="C457" s="3">
        <v>3</v>
      </c>
      <c r="D457" s="3">
        <v>3</v>
      </c>
      <c r="E457" s="3">
        <v>5</v>
      </c>
      <c r="F457" s="3">
        <v>9.5</v>
      </c>
      <c r="G457" s="3">
        <v>18.5</v>
      </c>
      <c r="H457" s="22">
        <v>0.25</v>
      </c>
      <c r="I457" s="22">
        <v>1</v>
      </c>
      <c r="J457" s="22">
        <v>0.25</v>
      </c>
      <c r="K457" s="22">
        <v>1</v>
      </c>
      <c r="L457" s="22">
        <v>1</v>
      </c>
      <c r="M457" s="22">
        <v>1</v>
      </c>
      <c r="N457" s="22">
        <v>0.5</v>
      </c>
      <c r="O457" s="22">
        <v>1</v>
      </c>
      <c r="P457" s="22">
        <v>1</v>
      </c>
      <c r="Q457" s="22">
        <v>1</v>
      </c>
      <c r="R457" s="22">
        <v>1</v>
      </c>
      <c r="S457" s="21">
        <v>0</v>
      </c>
      <c r="T457">
        <f t="shared" si="55"/>
        <v>3</v>
      </c>
      <c r="U457">
        <f t="shared" si="56"/>
        <v>3</v>
      </c>
      <c r="V457">
        <f t="shared" si="57"/>
        <v>5</v>
      </c>
      <c r="W457">
        <f t="shared" si="58"/>
        <v>9.5</v>
      </c>
      <c r="X457">
        <f t="shared" si="59"/>
        <v>18.5</v>
      </c>
      <c r="Y457" t="s">
        <v>31</v>
      </c>
      <c r="Z457">
        <v>1</v>
      </c>
      <c r="AA457" t="s">
        <v>66</v>
      </c>
      <c r="AB457" t="s">
        <v>50</v>
      </c>
      <c r="AC457" t="s">
        <v>51</v>
      </c>
      <c r="AD457" t="s">
        <v>93</v>
      </c>
      <c r="AE457" t="s">
        <v>53</v>
      </c>
      <c r="AF457" t="s">
        <v>69</v>
      </c>
      <c r="AG457" t="s">
        <v>55</v>
      </c>
      <c r="AH457" t="s">
        <v>55</v>
      </c>
      <c r="AI457" t="s">
        <v>55</v>
      </c>
      <c r="AJ457" t="s">
        <v>57</v>
      </c>
      <c r="AK457" t="s">
        <v>58</v>
      </c>
      <c r="AL457" t="s">
        <v>59</v>
      </c>
      <c r="AM457" t="s">
        <v>60</v>
      </c>
      <c r="AN457">
        <v>7</v>
      </c>
      <c r="AO457">
        <v>28</v>
      </c>
      <c r="AP457">
        <v>6</v>
      </c>
      <c r="AQ457">
        <v>17</v>
      </c>
      <c r="AR457" t="s">
        <v>55</v>
      </c>
      <c r="AS457" t="s">
        <v>61</v>
      </c>
      <c r="AT457" t="s">
        <v>56</v>
      </c>
      <c r="AU457" t="s">
        <v>62</v>
      </c>
      <c r="AV457" t="s">
        <v>63</v>
      </c>
      <c r="AW457" t="s">
        <v>60</v>
      </c>
      <c r="AX457" t="s">
        <v>60</v>
      </c>
      <c r="AY457">
        <v>3</v>
      </c>
      <c r="AZ457" t="s">
        <v>78</v>
      </c>
      <c r="BA457">
        <v>7</v>
      </c>
      <c r="BB457">
        <v>8</v>
      </c>
      <c r="BC457" t="s">
        <v>70</v>
      </c>
    </row>
    <row r="458" spans="1:55" x14ac:dyDescent="0.2">
      <c r="A458" t="s">
        <v>25</v>
      </c>
      <c r="B458" s="3" t="s">
        <v>8</v>
      </c>
      <c r="C458" s="3">
        <v>10</v>
      </c>
      <c r="D458" s="3">
        <v>10</v>
      </c>
      <c r="E458" s="3">
        <v>15</v>
      </c>
      <c r="F458" s="3">
        <v>14.5</v>
      </c>
      <c r="G458" s="3">
        <v>26.5</v>
      </c>
      <c r="H458" s="22">
        <v>1</v>
      </c>
      <c r="I458" s="22">
        <v>1</v>
      </c>
      <c r="J458" s="22">
        <v>1</v>
      </c>
      <c r="K458" s="22">
        <v>1</v>
      </c>
      <c r="L458" s="22">
        <v>0.5</v>
      </c>
      <c r="M458" s="22">
        <v>1</v>
      </c>
      <c r="N458" s="22">
        <v>1</v>
      </c>
      <c r="O458" s="22">
        <v>1</v>
      </c>
      <c r="P458" s="22">
        <v>1</v>
      </c>
      <c r="Q458" s="22">
        <v>0.75</v>
      </c>
      <c r="R458" s="22">
        <v>1</v>
      </c>
      <c r="S458" s="22">
        <v>1</v>
      </c>
      <c r="T458">
        <f t="shared" si="55"/>
        <v>10</v>
      </c>
      <c r="U458">
        <f t="shared" si="56"/>
        <v>10</v>
      </c>
      <c r="V458">
        <f t="shared" si="57"/>
        <v>15</v>
      </c>
      <c r="W458">
        <f t="shared" si="58"/>
        <v>14.5</v>
      </c>
      <c r="X458">
        <f t="shared" si="59"/>
        <v>26.5</v>
      </c>
      <c r="Y458" t="s">
        <v>31</v>
      </c>
      <c r="Z458">
        <v>1</v>
      </c>
      <c r="AA458" t="s">
        <v>66</v>
      </c>
      <c r="AB458" t="s">
        <v>50</v>
      </c>
      <c r="AC458" t="s">
        <v>74</v>
      </c>
      <c r="AD458" t="s">
        <v>60</v>
      </c>
      <c r="AE458" t="s">
        <v>53</v>
      </c>
      <c r="AF458" t="s">
        <v>53</v>
      </c>
      <c r="AG458" t="s">
        <v>55</v>
      </c>
      <c r="AH458" t="s">
        <v>55</v>
      </c>
      <c r="AI458" t="s">
        <v>55</v>
      </c>
      <c r="AJ458" t="s">
        <v>57</v>
      </c>
      <c r="AK458" t="s">
        <v>58</v>
      </c>
      <c r="AL458" t="s">
        <v>59</v>
      </c>
      <c r="AM458" t="s">
        <v>60</v>
      </c>
      <c r="AN458">
        <v>6</v>
      </c>
      <c r="AO458">
        <v>34</v>
      </c>
      <c r="AP458">
        <v>5</v>
      </c>
      <c r="AQ458">
        <v>17</v>
      </c>
      <c r="AR458" t="s">
        <v>55</v>
      </c>
      <c r="AS458" t="s">
        <v>61</v>
      </c>
      <c r="AT458" t="s">
        <v>55</v>
      </c>
      <c r="AU458" t="s">
        <v>62</v>
      </c>
      <c r="AV458" t="s">
        <v>63</v>
      </c>
      <c r="AW458" t="s">
        <v>60</v>
      </c>
      <c r="AX458" t="s">
        <v>60</v>
      </c>
      <c r="AY458">
        <v>4</v>
      </c>
      <c r="AZ458" t="s">
        <v>64</v>
      </c>
      <c r="BA458">
        <v>8</v>
      </c>
      <c r="BB458">
        <v>8</v>
      </c>
      <c r="BC458" t="s">
        <v>82</v>
      </c>
    </row>
    <row r="459" spans="1:55" x14ac:dyDescent="0.2">
      <c r="A459" t="s">
        <v>25</v>
      </c>
      <c r="B459" s="3" t="s">
        <v>8</v>
      </c>
      <c r="C459" s="3">
        <v>0</v>
      </c>
      <c r="D459" s="3">
        <v>0</v>
      </c>
      <c r="E459" s="3">
        <v>0</v>
      </c>
      <c r="F459" s="3">
        <v>0</v>
      </c>
      <c r="G459" s="3"/>
      <c r="H459" s="21">
        <v>0</v>
      </c>
      <c r="I459" s="21">
        <v>0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2">
        <v>0</v>
      </c>
      <c r="Q459" s="21">
        <v>0</v>
      </c>
      <c r="R459" s="21">
        <v>0</v>
      </c>
      <c r="S459" s="21">
        <v>0</v>
      </c>
      <c r="T459">
        <f t="shared" si="55"/>
        <v>0</v>
      </c>
      <c r="U459">
        <f t="shared" si="56"/>
        <v>0</v>
      </c>
      <c r="V459">
        <f t="shared" si="57"/>
        <v>0</v>
      </c>
      <c r="W459">
        <f t="shared" si="58"/>
        <v>0</v>
      </c>
      <c r="X459">
        <f t="shared" si="59"/>
        <v>0</v>
      </c>
      <c r="Y459" t="s">
        <v>31</v>
      </c>
      <c r="Z459">
        <v>1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</row>
    <row r="460" spans="1:55" x14ac:dyDescent="0.2">
      <c r="A460" t="s">
        <v>25</v>
      </c>
      <c r="B460" s="3" t="s">
        <v>8</v>
      </c>
      <c r="C460" s="3">
        <v>11</v>
      </c>
      <c r="D460" s="3">
        <v>6</v>
      </c>
      <c r="E460" s="3">
        <v>15</v>
      </c>
      <c r="F460" s="3">
        <v>14</v>
      </c>
      <c r="G460" s="3">
        <v>28</v>
      </c>
      <c r="H460" s="22">
        <v>1</v>
      </c>
      <c r="I460" s="22">
        <v>1</v>
      </c>
      <c r="J460" s="22">
        <v>1</v>
      </c>
      <c r="K460" s="22">
        <v>1</v>
      </c>
      <c r="L460" s="22">
        <v>0.5</v>
      </c>
      <c r="M460" s="22">
        <v>1</v>
      </c>
      <c r="N460" s="22">
        <v>1</v>
      </c>
      <c r="O460" s="22">
        <v>1</v>
      </c>
      <c r="P460" s="22">
        <v>1</v>
      </c>
      <c r="Q460" s="22">
        <v>0.75</v>
      </c>
      <c r="R460" s="22">
        <v>1</v>
      </c>
      <c r="S460" s="22">
        <v>1</v>
      </c>
      <c r="T460">
        <f t="shared" si="55"/>
        <v>11</v>
      </c>
      <c r="U460">
        <f t="shared" si="56"/>
        <v>6</v>
      </c>
      <c r="V460">
        <f t="shared" si="57"/>
        <v>15</v>
      </c>
      <c r="W460">
        <f t="shared" si="58"/>
        <v>14</v>
      </c>
      <c r="X460">
        <f t="shared" si="59"/>
        <v>28</v>
      </c>
      <c r="Y460" t="s">
        <v>31</v>
      </c>
      <c r="Z460">
        <v>1</v>
      </c>
      <c r="AA460" t="s">
        <v>66</v>
      </c>
      <c r="AB460" t="s">
        <v>71</v>
      </c>
      <c r="AC460" t="s">
        <v>74</v>
      </c>
      <c r="AD460" t="s">
        <v>60</v>
      </c>
      <c r="AE460" t="s">
        <v>53</v>
      </c>
      <c r="AF460" t="s">
        <v>54</v>
      </c>
      <c r="AG460" t="s">
        <v>56</v>
      </c>
      <c r="AH460" t="s">
        <v>56</v>
      </c>
      <c r="AI460" t="s">
        <v>56</v>
      </c>
      <c r="AJ460" t="s">
        <v>57</v>
      </c>
      <c r="AK460" t="s">
        <v>58</v>
      </c>
      <c r="AL460" t="s">
        <v>59</v>
      </c>
      <c r="AM460" t="s">
        <v>60</v>
      </c>
      <c r="AN460">
        <v>6</v>
      </c>
      <c r="AO460">
        <v>34</v>
      </c>
      <c r="AP460">
        <v>5</v>
      </c>
      <c r="AQ460">
        <v>17</v>
      </c>
      <c r="AR460" t="s">
        <v>55</v>
      </c>
      <c r="AS460" t="s">
        <v>55</v>
      </c>
      <c r="AT460" t="s">
        <v>55</v>
      </c>
      <c r="AU460" t="s">
        <v>62</v>
      </c>
      <c r="AV460" t="s">
        <v>63</v>
      </c>
      <c r="AW460" t="s">
        <v>60</v>
      </c>
      <c r="AX460" t="s">
        <v>60</v>
      </c>
      <c r="AY460">
        <v>4</v>
      </c>
      <c r="AZ460" t="s">
        <v>78</v>
      </c>
      <c r="BA460">
        <v>5</v>
      </c>
      <c r="BB460">
        <v>8</v>
      </c>
      <c r="BC460" t="s">
        <v>76</v>
      </c>
    </row>
    <row r="461" spans="1:55" x14ac:dyDescent="0.2">
      <c r="A461" t="s">
        <v>25</v>
      </c>
      <c r="B461" s="3" t="s">
        <v>8</v>
      </c>
      <c r="C461" s="3">
        <v>13.5</v>
      </c>
      <c r="D461" s="3">
        <v>6.5</v>
      </c>
      <c r="E461" s="3">
        <v>15</v>
      </c>
      <c r="F461" s="3">
        <v>14</v>
      </c>
      <c r="G461" s="3">
        <v>22</v>
      </c>
      <c r="H461" s="22">
        <v>1</v>
      </c>
      <c r="I461" s="22">
        <v>0.75</v>
      </c>
      <c r="J461" s="22">
        <v>1</v>
      </c>
      <c r="K461" s="22">
        <v>1</v>
      </c>
      <c r="L461" s="22">
        <v>1</v>
      </c>
      <c r="M461" s="22">
        <v>1</v>
      </c>
      <c r="N461" s="22">
        <v>1</v>
      </c>
      <c r="O461" s="22">
        <v>1</v>
      </c>
      <c r="P461" s="22">
        <v>1</v>
      </c>
      <c r="Q461" s="22">
        <v>1</v>
      </c>
      <c r="R461" s="22">
        <v>1</v>
      </c>
      <c r="S461" s="22">
        <v>1</v>
      </c>
      <c r="T461">
        <f t="shared" si="55"/>
        <v>13.5</v>
      </c>
      <c r="U461">
        <f t="shared" si="56"/>
        <v>6.5</v>
      </c>
      <c r="V461">
        <f t="shared" si="57"/>
        <v>15</v>
      </c>
      <c r="W461">
        <f t="shared" si="58"/>
        <v>14</v>
      </c>
      <c r="X461">
        <f t="shared" si="59"/>
        <v>22</v>
      </c>
      <c r="Y461" t="s">
        <v>31</v>
      </c>
      <c r="Z461">
        <v>1</v>
      </c>
      <c r="AA461" t="s">
        <v>49</v>
      </c>
      <c r="AB461" t="s">
        <v>71</v>
      </c>
      <c r="AC461" t="s">
        <v>51</v>
      </c>
      <c r="AD461" t="s">
        <v>68</v>
      </c>
      <c r="AE461" t="s">
        <v>69</v>
      </c>
      <c r="AF461" t="s">
        <v>54</v>
      </c>
      <c r="AG461" t="s">
        <v>56</v>
      </c>
      <c r="AH461" t="s">
        <v>55</v>
      </c>
      <c r="AI461" t="s">
        <v>56</v>
      </c>
      <c r="AJ461" t="s">
        <v>57</v>
      </c>
      <c r="AK461" t="s">
        <v>58</v>
      </c>
      <c r="AL461" t="s">
        <v>59</v>
      </c>
      <c r="AM461" t="s">
        <v>60</v>
      </c>
      <c r="AN461">
        <v>7</v>
      </c>
      <c r="AO461">
        <v>34</v>
      </c>
      <c r="AP461">
        <v>5</v>
      </c>
      <c r="AQ461">
        <v>11</v>
      </c>
      <c r="AR461" t="s">
        <v>55</v>
      </c>
      <c r="AS461" t="s">
        <v>61</v>
      </c>
      <c r="AT461" t="s">
        <v>56</v>
      </c>
      <c r="AU461" t="s">
        <v>62</v>
      </c>
      <c r="AV461" t="s">
        <v>63</v>
      </c>
      <c r="AW461" t="s">
        <v>60</v>
      </c>
      <c r="AX461" t="s">
        <v>60</v>
      </c>
      <c r="AY461">
        <v>5</v>
      </c>
      <c r="AZ461" t="s">
        <v>64</v>
      </c>
      <c r="BA461">
        <v>8</v>
      </c>
      <c r="BB461">
        <v>6</v>
      </c>
      <c r="BC461" t="s">
        <v>70</v>
      </c>
    </row>
    <row r="462" spans="1:55" x14ac:dyDescent="0.2">
      <c r="A462" t="s">
        <v>25</v>
      </c>
      <c r="B462" s="3" t="s">
        <v>8</v>
      </c>
      <c r="C462" s="3">
        <v>8</v>
      </c>
      <c r="D462" s="3">
        <v>15</v>
      </c>
      <c r="E462" s="3">
        <v>0</v>
      </c>
      <c r="F462" s="3">
        <v>13</v>
      </c>
      <c r="G462" s="3">
        <v>27.5</v>
      </c>
      <c r="H462" s="22">
        <v>1</v>
      </c>
      <c r="I462" s="22">
        <v>1</v>
      </c>
      <c r="J462" s="22">
        <v>1</v>
      </c>
      <c r="K462" s="22">
        <v>1</v>
      </c>
      <c r="L462" s="22">
        <v>1</v>
      </c>
      <c r="M462" s="22">
        <v>1</v>
      </c>
      <c r="N462" s="22">
        <v>1</v>
      </c>
      <c r="O462" s="22">
        <v>1</v>
      </c>
      <c r="P462" s="22">
        <v>1</v>
      </c>
      <c r="Q462" s="22">
        <v>1</v>
      </c>
      <c r="R462" s="22">
        <v>1</v>
      </c>
      <c r="S462" s="22">
        <v>1</v>
      </c>
      <c r="T462">
        <f t="shared" si="55"/>
        <v>8</v>
      </c>
      <c r="U462">
        <f t="shared" si="56"/>
        <v>15</v>
      </c>
      <c r="V462">
        <f t="shared" si="57"/>
        <v>0</v>
      </c>
      <c r="W462">
        <f t="shared" si="58"/>
        <v>13</v>
      </c>
      <c r="X462">
        <f t="shared" si="59"/>
        <v>27.5</v>
      </c>
      <c r="Y462" t="s">
        <v>31</v>
      </c>
      <c r="Z462">
        <v>1</v>
      </c>
      <c r="AA462" t="s">
        <v>66</v>
      </c>
      <c r="AB462" t="s">
        <v>71</v>
      </c>
      <c r="AC462" t="s">
        <v>72</v>
      </c>
      <c r="AD462" t="s">
        <v>93</v>
      </c>
      <c r="AE462" t="s">
        <v>69</v>
      </c>
      <c r="AF462" t="s">
        <v>69</v>
      </c>
      <c r="AG462" t="s">
        <v>55</v>
      </c>
      <c r="AH462" t="s">
        <v>55</v>
      </c>
      <c r="AI462" t="s">
        <v>55</v>
      </c>
      <c r="AJ462" t="s">
        <v>57</v>
      </c>
      <c r="AK462" t="s">
        <v>58</v>
      </c>
      <c r="AL462" t="s">
        <v>59</v>
      </c>
      <c r="AM462" t="s">
        <v>60</v>
      </c>
      <c r="AN462">
        <v>6</v>
      </c>
      <c r="AO462">
        <v>34</v>
      </c>
      <c r="AP462">
        <v>5</v>
      </c>
      <c r="AQ462">
        <v>11</v>
      </c>
      <c r="AR462" t="s">
        <v>55</v>
      </c>
      <c r="AS462" t="s">
        <v>55</v>
      </c>
      <c r="AT462" t="s">
        <v>55</v>
      </c>
      <c r="AU462" t="s">
        <v>62</v>
      </c>
      <c r="AV462" t="s">
        <v>63</v>
      </c>
      <c r="AW462" t="s">
        <v>60</v>
      </c>
      <c r="AX462" t="s">
        <v>60</v>
      </c>
      <c r="AY462">
        <v>4</v>
      </c>
      <c r="AZ462" t="s">
        <v>78</v>
      </c>
      <c r="BA462">
        <v>7</v>
      </c>
      <c r="BB462">
        <v>9</v>
      </c>
      <c r="BC462" t="s">
        <v>65</v>
      </c>
    </row>
    <row r="463" spans="1:55" x14ac:dyDescent="0.2">
      <c r="A463" t="s">
        <v>25</v>
      </c>
      <c r="B463" s="3" t="s">
        <v>8</v>
      </c>
      <c r="C463" s="3">
        <v>15</v>
      </c>
      <c r="D463" s="3">
        <v>14</v>
      </c>
      <c r="E463" s="3">
        <v>13</v>
      </c>
      <c r="F463" s="3">
        <v>16</v>
      </c>
      <c r="G463" s="3">
        <v>28</v>
      </c>
      <c r="H463" s="22">
        <v>1</v>
      </c>
      <c r="I463" s="22">
        <v>1</v>
      </c>
      <c r="J463" s="22">
        <v>1</v>
      </c>
      <c r="K463" s="22">
        <v>1</v>
      </c>
      <c r="L463" s="22">
        <v>1</v>
      </c>
      <c r="M463" s="22">
        <v>1</v>
      </c>
      <c r="N463" s="22">
        <v>1</v>
      </c>
      <c r="O463" s="22">
        <v>1</v>
      </c>
      <c r="P463" s="22">
        <v>1</v>
      </c>
      <c r="Q463" s="22">
        <v>0.75</v>
      </c>
      <c r="R463" s="22">
        <v>1</v>
      </c>
      <c r="S463" s="21">
        <v>0</v>
      </c>
      <c r="T463">
        <f t="shared" si="55"/>
        <v>15</v>
      </c>
      <c r="U463">
        <f t="shared" si="56"/>
        <v>14</v>
      </c>
      <c r="V463">
        <f t="shared" si="57"/>
        <v>13</v>
      </c>
      <c r="W463">
        <f t="shared" si="58"/>
        <v>16</v>
      </c>
      <c r="X463">
        <f t="shared" si="59"/>
        <v>28</v>
      </c>
      <c r="Y463" t="s">
        <v>31</v>
      </c>
      <c r="Z463">
        <v>1</v>
      </c>
      <c r="AA463" t="s">
        <v>49</v>
      </c>
      <c r="AB463" t="s">
        <v>50</v>
      </c>
      <c r="AC463" t="s">
        <v>75</v>
      </c>
      <c r="AD463" t="s">
        <v>89</v>
      </c>
      <c r="AE463" t="s">
        <v>54</v>
      </c>
      <c r="AF463" t="s">
        <v>69</v>
      </c>
      <c r="AG463" t="s">
        <v>56</v>
      </c>
      <c r="AH463" t="s">
        <v>56</v>
      </c>
      <c r="AI463" t="s">
        <v>56</v>
      </c>
      <c r="AJ463" t="s">
        <v>57</v>
      </c>
      <c r="AK463" t="s">
        <v>58</v>
      </c>
      <c r="AL463" t="s">
        <v>59</v>
      </c>
      <c r="AM463" t="s">
        <v>60</v>
      </c>
      <c r="AN463">
        <v>7</v>
      </c>
      <c r="AO463">
        <v>33</v>
      </c>
      <c r="AP463">
        <v>5</v>
      </c>
      <c r="AQ463">
        <v>9</v>
      </c>
      <c r="AR463" t="s">
        <v>55</v>
      </c>
      <c r="AS463" t="s">
        <v>61</v>
      </c>
      <c r="AT463" t="s">
        <v>55</v>
      </c>
      <c r="AU463" t="s">
        <v>62</v>
      </c>
      <c r="AV463" t="s">
        <v>63</v>
      </c>
      <c r="AW463" t="s">
        <v>60</v>
      </c>
      <c r="AX463" t="s">
        <v>60</v>
      </c>
      <c r="AY463">
        <v>4</v>
      </c>
      <c r="AZ463" t="s">
        <v>78</v>
      </c>
      <c r="BA463">
        <v>8</v>
      </c>
      <c r="BB463">
        <v>9</v>
      </c>
      <c r="BC463" t="s">
        <v>70</v>
      </c>
    </row>
    <row r="464" spans="1:55" x14ac:dyDescent="0.2">
      <c r="A464" t="s">
        <v>25</v>
      </c>
      <c r="B464" s="3" t="s">
        <v>8</v>
      </c>
      <c r="C464" s="3">
        <v>2</v>
      </c>
      <c r="D464" s="3">
        <v>9</v>
      </c>
      <c r="E464" s="3">
        <v>4</v>
      </c>
      <c r="F464" s="3">
        <v>0</v>
      </c>
      <c r="G464" s="3"/>
      <c r="H464" s="22">
        <v>1</v>
      </c>
      <c r="I464" s="22">
        <v>0.5</v>
      </c>
      <c r="J464" s="22">
        <v>0.5</v>
      </c>
      <c r="K464" s="22">
        <v>1</v>
      </c>
      <c r="L464" s="22">
        <v>1</v>
      </c>
      <c r="M464" s="21">
        <v>0</v>
      </c>
      <c r="N464" s="21">
        <v>0</v>
      </c>
      <c r="O464" s="22">
        <v>1</v>
      </c>
      <c r="P464" s="22">
        <v>1</v>
      </c>
      <c r="Q464" s="22">
        <v>0.25</v>
      </c>
      <c r="R464" s="21">
        <v>0</v>
      </c>
      <c r="S464" s="21">
        <v>0</v>
      </c>
      <c r="T464">
        <f t="shared" si="55"/>
        <v>2</v>
      </c>
      <c r="U464">
        <f t="shared" si="56"/>
        <v>9</v>
      </c>
      <c r="V464">
        <f t="shared" si="57"/>
        <v>4</v>
      </c>
      <c r="W464">
        <f t="shared" si="58"/>
        <v>0</v>
      </c>
      <c r="X464">
        <f t="shared" si="59"/>
        <v>0</v>
      </c>
      <c r="Y464" t="s">
        <v>31</v>
      </c>
      <c r="Z464">
        <v>1</v>
      </c>
      <c r="AA464" t="s">
        <v>49</v>
      </c>
      <c r="AB464" t="s">
        <v>80</v>
      </c>
      <c r="AC464" t="s">
        <v>51</v>
      </c>
      <c r="AD464" t="s">
        <v>93</v>
      </c>
      <c r="AE464" t="s">
        <v>53</v>
      </c>
      <c r="AF464" t="s">
        <v>69</v>
      </c>
      <c r="AG464" t="s">
        <v>55</v>
      </c>
      <c r="AH464" t="s">
        <v>55</v>
      </c>
      <c r="AI464" t="s">
        <v>56</v>
      </c>
      <c r="AJ464" t="s">
        <v>57</v>
      </c>
      <c r="AK464" t="s">
        <v>58</v>
      </c>
      <c r="AL464" t="s">
        <v>59</v>
      </c>
      <c r="AM464" t="s">
        <v>60</v>
      </c>
      <c r="AN464">
        <v>7</v>
      </c>
      <c r="AO464">
        <v>31</v>
      </c>
      <c r="AP464">
        <v>4</v>
      </c>
      <c r="AQ464">
        <v>10</v>
      </c>
      <c r="AR464" t="s">
        <v>55</v>
      </c>
      <c r="AS464" t="s">
        <v>61</v>
      </c>
      <c r="AT464" t="s">
        <v>55</v>
      </c>
      <c r="AU464" t="s">
        <v>62</v>
      </c>
      <c r="AV464" t="s">
        <v>63</v>
      </c>
      <c r="AW464" t="s">
        <v>60</v>
      </c>
      <c r="AX464" t="s">
        <v>60</v>
      </c>
      <c r="AY464">
        <v>3</v>
      </c>
      <c r="AZ464" t="s">
        <v>64</v>
      </c>
      <c r="BA464">
        <v>8</v>
      </c>
      <c r="BB464">
        <v>6</v>
      </c>
      <c r="BC464" t="s">
        <v>70</v>
      </c>
    </row>
    <row r="465" spans="1:55" x14ac:dyDescent="0.2">
      <c r="A465" t="s">
        <v>25</v>
      </c>
      <c r="B465" s="3" t="s">
        <v>8</v>
      </c>
      <c r="C465" s="3">
        <v>13</v>
      </c>
      <c r="D465" s="3">
        <v>12</v>
      </c>
      <c r="E465" s="3">
        <v>15.5</v>
      </c>
      <c r="F465" s="3">
        <v>16</v>
      </c>
      <c r="G465" s="3">
        <v>35.5</v>
      </c>
      <c r="H465" s="22">
        <v>1</v>
      </c>
      <c r="I465" s="22">
        <v>1</v>
      </c>
      <c r="J465" s="22">
        <v>1</v>
      </c>
      <c r="K465" s="22">
        <v>1</v>
      </c>
      <c r="L465" s="22">
        <v>0.5</v>
      </c>
      <c r="M465" s="22">
        <v>1</v>
      </c>
      <c r="N465" s="22">
        <v>1</v>
      </c>
      <c r="O465" s="22">
        <v>1</v>
      </c>
      <c r="P465" s="22">
        <v>1</v>
      </c>
      <c r="Q465" s="22">
        <v>1</v>
      </c>
      <c r="R465" s="22">
        <v>1</v>
      </c>
      <c r="S465" s="22">
        <v>1</v>
      </c>
      <c r="T465">
        <f t="shared" si="55"/>
        <v>13</v>
      </c>
      <c r="U465">
        <f t="shared" si="56"/>
        <v>12</v>
      </c>
      <c r="V465">
        <f t="shared" si="57"/>
        <v>15.5</v>
      </c>
      <c r="W465">
        <f t="shared" si="58"/>
        <v>16</v>
      </c>
      <c r="X465">
        <f t="shared" si="59"/>
        <v>35.5</v>
      </c>
      <c r="Y465" t="s">
        <v>31</v>
      </c>
      <c r="Z465">
        <v>1</v>
      </c>
      <c r="AA465" t="s">
        <v>66</v>
      </c>
      <c r="AB465" t="s">
        <v>71</v>
      </c>
      <c r="AC465" t="s">
        <v>72</v>
      </c>
      <c r="AD465" t="s">
        <v>93</v>
      </c>
      <c r="AE465" t="s">
        <v>69</v>
      </c>
      <c r="AF465" t="s">
        <v>69</v>
      </c>
      <c r="AG465" t="s">
        <v>55</v>
      </c>
      <c r="AH465" t="s">
        <v>55</v>
      </c>
      <c r="AI465" t="s">
        <v>55</v>
      </c>
      <c r="AJ465" t="s">
        <v>57</v>
      </c>
      <c r="AK465" t="s">
        <v>58</v>
      </c>
      <c r="AL465" t="s">
        <v>59</v>
      </c>
      <c r="AM465" t="s">
        <v>60</v>
      </c>
      <c r="AN465">
        <v>8</v>
      </c>
      <c r="AO465">
        <v>37</v>
      </c>
      <c r="AP465">
        <v>6</v>
      </c>
      <c r="AQ465">
        <v>5</v>
      </c>
      <c r="AR465" t="s">
        <v>55</v>
      </c>
      <c r="AS465" t="s">
        <v>61</v>
      </c>
      <c r="AT465" t="s">
        <v>55</v>
      </c>
      <c r="AU465" t="s">
        <v>62</v>
      </c>
      <c r="AV465" t="s">
        <v>63</v>
      </c>
      <c r="AW465" t="s">
        <v>60</v>
      </c>
      <c r="AX465" t="s">
        <v>60</v>
      </c>
      <c r="AY465">
        <v>5</v>
      </c>
      <c r="AZ465" t="s">
        <v>64</v>
      </c>
      <c r="BA465">
        <v>7</v>
      </c>
      <c r="BB465">
        <v>8</v>
      </c>
      <c r="BC465" t="s">
        <v>82</v>
      </c>
    </row>
    <row r="466" spans="1:55" x14ac:dyDescent="0.2">
      <c r="A466" t="s">
        <v>25</v>
      </c>
      <c r="B466" s="3" t="s">
        <v>8</v>
      </c>
      <c r="C466" s="3">
        <v>6</v>
      </c>
      <c r="D466" s="3">
        <v>6.5</v>
      </c>
      <c r="E466" s="3">
        <v>6.5</v>
      </c>
      <c r="F466" s="3">
        <v>7</v>
      </c>
      <c r="G466" s="3">
        <v>20</v>
      </c>
      <c r="H466" s="22">
        <v>1</v>
      </c>
      <c r="I466" s="22">
        <v>1</v>
      </c>
      <c r="J466" s="22">
        <v>1</v>
      </c>
      <c r="K466" s="22">
        <v>1</v>
      </c>
      <c r="L466" s="22">
        <v>0.5</v>
      </c>
      <c r="M466" s="22">
        <v>1</v>
      </c>
      <c r="N466" s="22">
        <v>0.75</v>
      </c>
      <c r="O466" s="22">
        <v>1</v>
      </c>
      <c r="P466" s="22">
        <v>1</v>
      </c>
      <c r="Q466" s="22">
        <v>0.75</v>
      </c>
      <c r="R466" s="22">
        <v>1</v>
      </c>
      <c r="S466" s="22">
        <v>1</v>
      </c>
      <c r="T466">
        <f t="shared" si="55"/>
        <v>6</v>
      </c>
      <c r="U466">
        <f t="shared" si="56"/>
        <v>6.5</v>
      </c>
      <c r="V466">
        <f t="shared" si="57"/>
        <v>6.5</v>
      </c>
      <c r="W466">
        <f t="shared" si="58"/>
        <v>7</v>
      </c>
      <c r="X466">
        <f t="shared" si="59"/>
        <v>20</v>
      </c>
      <c r="Y466" t="s">
        <v>31</v>
      </c>
      <c r="Z466">
        <v>1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</row>
    <row r="467" spans="1:55" x14ac:dyDescent="0.2">
      <c r="A467" t="s">
        <v>25</v>
      </c>
      <c r="B467" s="3" t="s">
        <v>8</v>
      </c>
      <c r="C467" s="3">
        <v>9.5</v>
      </c>
      <c r="D467" s="3">
        <v>14</v>
      </c>
      <c r="E467" s="3">
        <v>10</v>
      </c>
      <c r="F467" s="3">
        <v>12</v>
      </c>
      <c r="G467" s="3">
        <v>20</v>
      </c>
      <c r="H467" s="22">
        <v>1</v>
      </c>
      <c r="I467" s="22">
        <v>1</v>
      </c>
      <c r="J467" s="22">
        <v>1</v>
      </c>
      <c r="K467" s="22">
        <v>1</v>
      </c>
      <c r="L467" s="22">
        <v>1</v>
      </c>
      <c r="M467" s="22">
        <v>1</v>
      </c>
      <c r="N467" s="22">
        <v>0.75</v>
      </c>
      <c r="O467" s="22">
        <v>1</v>
      </c>
      <c r="P467" s="22">
        <v>1</v>
      </c>
      <c r="Q467" s="22">
        <v>0</v>
      </c>
      <c r="R467" s="22">
        <v>1</v>
      </c>
      <c r="S467" s="22">
        <v>1</v>
      </c>
      <c r="T467">
        <f t="shared" si="55"/>
        <v>9.5</v>
      </c>
      <c r="U467">
        <f t="shared" si="56"/>
        <v>14</v>
      </c>
      <c r="V467">
        <f t="shared" si="57"/>
        <v>10</v>
      </c>
      <c r="W467">
        <f t="shared" si="58"/>
        <v>12</v>
      </c>
      <c r="X467">
        <f t="shared" si="59"/>
        <v>20</v>
      </c>
      <c r="Y467" t="s">
        <v>31</v>
      </c>
      <c r="Z467">
        <v>1</v>
      </c>
      <c r="AA467" t="e">
        <v>#N/A</v>
      </c>
      <c r="AB467" t="e">
        <v>#N/A</v>
      </c>
      <c r="AC467" t="e">
        <v>#N/A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</row>
    <row r="468" spans="1:55" x14ac:dyDescent="0.2">
      <c r="A468" t="s">
        <v>25</v>
      </c>
      <c r="B468" s="3" t="s">
        <v>8</v>
      </c>
      <c r="C468" s="3">
        <v>3</v>
      </c>
      <c r="D468" s="3">
        <v>10</v>
      </c>
      <c r="E468" s="3">
        <v>2</v>
      </c>
      <c r="F468" s="3">
        <v>8.5</v>
      </c>
      <c r="G468" s="3">
        <v>9.5</v>
      </c>
      <c r="H468" s="22">
        <v>1</v>
      </c>
      <c r="I468" s="22">
        <v>1</v>
      </c>
      <c r="J468" s="22">
        <v>1</v>
      </c>
      <c r="K468" s="22">
        <v>1</v>
      </c>
      <c r="L468" s="22">
        <v>1</v>
      </c>
      <c r="M468" s="22">
        <v>0.67</v>
      </c>
      <c r="N468" s="22">
        <v>0.5</v>
      </c>
      <c r="O468" s="22">
        <v>1</v>
      </c>
      <c r="P468" s="22">
        <v>1</v>
      </c>
      <c r="Q468" s="22">
        <v>0.75</v>
      </c>
      <c r="R468" s="22">
        <v>0.75</v>
      </c>
      <c r="S468" s="22">
        <v>1</v>
      </c>
      <c r="T468">
        <f t="shared" si="55"/>
        <v>3</v>
      </c>
      <c r="U468">
        <f t="shared" si="56"/>
        <v>10</v>
      </c>
      <c r="V468">
        <f t="shared" si="57"/>
        <v>2</v>
      </c>
      <c r="W468">
        <f t="shared" si="58"/>
        <v>8.5</v>
      </c>
      <c r="X468">
        <f t="shared" si="59"/>
        <v>9.5</v>
      </c>
      <c r="Y468" t="s">
        <v>31</v>
      </c>
      <c r="Z468">
        <v>1</v>
      </c>
      <c r="AA468" t="s">
        <v>49</v>
      </c>
      <c r="AB468" t="s">
        <v>71</v>
      </c>
      <c r="AC468" t="s">
        <v>72</v>
      </c>
      <c r="AD468" t="s">
        <v>83</v>
      </c>
      <c r="AE468" t="s">
        <v>53</v>
      </c>
      <c r="AF468" t="s">
        <v>53</v>
      </c>
      <c r="AG468" t="s">
        <v>56</v>
      </c>
      <c r="AH468" t="s">
        <v>55</v>
      </c>
      <c r="AI468" t="s">
        <v>55</v>
      </c>
      <c r="AJ468" t="s">
        <v>57</v>
      </c>
      <c r="AK468" t="s">
        <v>58</v>
      </c>
      <c r="AL468" t="s">
        <v>59</v>
      </c>
      <c r="AM468" t="s">
        <v>60</v>
      </c>
      <c r="AN468">
        <v>5</v>
      </c>
      <c r="AO468">
        <v>28</v>
      </c>
      <c r="AP468">
        <v>4</v>
      </c>
      <c r="AQ468">
        <v>13</v>
      </c>
      <c r="AR468" t="s">
        <v>55</v>
      </c>
      <c r="AS468" t="s">
        <v>61</v>
      </c>
      <c r="AT468" t="s">
        <v>55</v>
      </c>
      <c r="AU468" t="s">
        <v>62</v>
      </c>
      <c r="AV468" t="s">
        <v>63</v>
      </c>
      <c r="AW468" t="s">
        <v>60</v>
      </c>
      <c r="AX468" t="s">
        <v>60</v>
      </c>
      <c r="AY468" t="s">
        <v>60</v>
      </c>
      <c r="AZ468" t="s">
        <v>64</v>
      </c>
      <c r="BA468">
        <v>5</v>
      </c>
      <c r="BB468">
        <v>0</v>
      </c>
      <c r="BC468" t="s">
        <v>70</v>
      </c>
    </row>
    <row r="469" spans="1:55" x14ac:dyDescent="0.2">
      <c r="A469" t="s">
        <v>25</v>
      </c>
      <c r="B469" s="3" t="s">
        <v>8</v>
      </c>
      <c r="C469" s="3">
        <v>3</v>
      </c>
      <c r="D469" s="3">
        <v>7</v>
      </c>
      <c r="E469" s="3">
        <v>9.5</v>
      </c>
      <c r="F469" s="3">
        <v>3.5</v>
      </c>
      <c r="G469" s="3">
        <v>17</v>
      </c>
      <c r="H469" s="22">
        <v>0.75</v>
      </c>
      <c r="I469" s="22">
        <v>1</v>
      </c>
      <c r="J469" s="21">
        <v>0</v>
      </c>
      <c r="K469" s="22">
        <v>1</v>
      </c>
      <c r="L469" s="22">
        <v>1</v>
      </c>
      <c r="M469" s="22">
        <v>1</v>
      </c>
      <c r="N469" s="22">
        <v>1</v>
      </c>
      <c r="O469" s="22">
        <v>1</v>
      </c>
      <c r="P469" s="22">
        <v>1</v>
      </c>
      <c r="Q469" s="22">
        <v>1</v>
      </c>
      <c r="R469" s="22">
        <v>1</v>
      </c>
      <c r="S469" s="22">
        <v>1</v>
      </c>
      <c r="T469">
        <f t="shared" si="55"/>
        <v>3</v>
      </c>
      <c r="U469">
        <f t="shared" si="56"/>
        <v>7</v>
      </c>
      <c r="V469">
        <f t="shared" si="57"/>
        <v>9.5</v>
      </c>
      <c r="W469">
        <f t="shared" si="58"/>
        <v>3.5</v>
      </c>
      <c r="X469">
        <f t="shared" si="59"/>
        <v>17</v>
      </c>
      <c r="Y469" t="s">
        <v>31</v>
      </c>
      <c r="Z469">
        <v>1</v>
      </c>
      <c r="AA469" t="s">
        <v>66</v>
      </c>
      <c r="AB469" t="s">
        <v>50</v>
      </c>
      <c r="AC469" t="s">
        <v>74</v>
      </c>
      <c r="AD469" t="s">
        <v>60</v>
      </c>
      <c r="AE469" t="s">
        <v>69</v>
      </c>
      <c r="AF469" t="s">
        <v>69</v>
      </c>
      <c r="AG469" t="s">
        <v>55</v>
      </c>
      <c r="AH469" t="s">
        <v>55</v>
      </c>
      <c r="AI469" t="s">
        <v>55</v>
      </c>
      <c r="AJ469" t="s">
        <v>57</v>
      </c>
      <c r="AK469" t="s">
        <v>79</v>
      </c>
      <c r="AL469" t="s">
        <v>96</v>
      </c>
      <c r="AM469">
        <v>0</v>
      </c>
      <c r="AN469">
        <v>6</v>
      </c>
      <c r="AO469">
        <v>39</v>
      </c>
      <c r="AP469">
        <v>6</v>
      </c>
      <c r="AQ469">
        <v>12</v>
      </c>
      <c r="AR469" t="s">
        <v>55</v>
      </c>
      <c r="AS469" t="s">
        <v>61</v>
      </c>
      <c r="AT469" t="s">
        <v>55</v>
      </c>
      <c r="AU469" t="s">
        <v>62</v>
      </c>
      <c r="AV469" t="s">
        <v>97</v>
      </c>
      <c r="AW469" t="s">
        <v>98</v>
      </c>
      <c r="AX469" t="s">
        <v>60</v>
      </c>
      <c r="AY469">
        <v>4</v>
      </c>
      <c r="AZ469" t="s">
        <v>78</v>
      </c>
      <c r="BA469">
        <v>3</v>
      </c>
      <c r="BB469">
        <v>8</v>
      </c>
      <c r="BC469" t="s">
        <v>82</v>
      </c>
    </row>
    <row r="470" spans="1:55" x14ac:dyDescent="0.2">
      <c r="A470" t="s">
        <v>25</v>
      </c>
      <c r="B470" s="3" t="s">
        <v>8</v>
      </c>
      <c r="C470" s="3">
        <v>7.5</v>
      </c>
      <c r="D470" s="3">
        <v>4</v>
      </c>
      <c r="E470" s="3">
        <v>9</v>
      </c>
      <c r="F470" s="3">
        <v>11</v>
      </c>
      <c r="G470" s="3">
        <v>17</v>
      </c>
      <c r="H470" s="22">
        <v>1</v>
      </c>
      <c r="I470" s="22">
        <v>1</v>
      </c>
      <c r="J470" s="22">
        <v>1</v>
      </c>
      <c r="K470" s="22">
        <v>1</v>
      </c>
      <c r="L470" s="22">
        <v>0.5</v>
      </c>
      <c r="M470" s="22">
        <v>1</v>
      </c>
      <c r="N470" s="22">
        <v>1</v>
      </c>
      <c r="O470" s="22">
        <v>1</v>
      </c>
      <c r="P470" s="22">
        <v>1</v>
      </c>
      <c r="Q470" s="22">
        <v>0.5</v>
      </c>
      <c r="R470" s="22">
        <v>1</v>
      </c>
      <c r="S470" s="22">
        <v>1</v>
      </c>
      <c r="T470">
        <f t="shared" si="55"/>
        <v>7.5</v>
      </c>
      <c r="U470">
        <f t="shared" si="56"/>
        <v>4</v>
      </c>
      <c r="V470">
        <f t="shared" si="57"/>
        <v>9</v>
      </c>
      <c r="W470">
        <f t="shared" si="58"/>
        <v>11</v>
      </c>
      <c r="X470">
        <f t="shared" si="59"/>
        <v>17</v>
      </c>
      <c r="Y470" t="s">
        <v>31</v>
      </c>
      <c r="Z470">
        <v>1</v>
      </c>
      <c r="AA470" t="s">
        <v>66</v>
      </c>
      <c r="AB470" t="s">
        <v>67</v>
      </c>
      <c r="AC470" t="s">
        <v>72</v>
      </c>
      <c r="AD470" t="s">
        <v>109</v>
      </c>
      <c r="AE470" t="s">
        <v>69</v>
      </c>
      <c r="AF470" t="s">
        <v>69</v>
      </c>
      <c r="AG470" t="s">
        <v>56</v>
      </c>
      <c r="AH470" t="s">
        <v>55</v>
      </c>
      <c r="AI470" t="s">
        <v>55</v>
      </c>
      <c r="AJ470" t="s">
        <v>57</v>
      </c>
      <c r="AK470" t="s">
        <v>79</v>
      </c>
      <c r="AL470" t="s">
        <v>96</v>
      </c>
      <c r="AM470">
        <v>0</v>
      </c>
      <c r="AN470">
        <v>7</v>
      </c>
      <c r="AO470">
        <v>39</v>
      </c>
      <c r="AP470">
        <v>7</v>
      </c>
      <c r="AQ470">
        <v>8</v>
      </c>
      <c r="AR470" t="s">
        <v>55</v>
      </c>
      <c r="AS470" t="s">
        <v>61</v>
      </c>
      <c r="AT470" t="s">
        <v>55</v>
      </c>
      <c r="AU470" t="s">
        <v>62</v>
      </c>
      <c r="AV470" t="s">
        <v>97</v>
      </c>
      <c r="AW470" t="s">
        <v>98</v>
      </c>
      <c r="AX470" t="s">
        <v>60</v>
      </c>
      <c r="AY470">
        <v>3</v>
      </c>
      <c r="AZ470" t="s">
        <v>99</v>
      </c>
      <c r="BA470">
        <v>4</v>
      </c>
      <c r="BB470">
        <v>6</v>
      </c>
      <c r="BC470" t="s">
        <v>82</v>
      </c>
    </row>
    <row r="471" spans="1:55" x14ac:dyDescent="0.2">
      <c r="A471" t="s">
        <v>25</v>
      </c>
      <c r="B471" s="3" t="s">
        <v>8</v>
      </c>
      <c r="C471" s="3">
        <v>0</v>
      </c>
      <c r="D471" s="3">
        <v>0</v>
      </c>
      <c r="E471" s="3">
        <v>0</v>
      </c>
      <c r="F471" s="3">
        <v>0</v>
      </c>
      <c r="G471" s="3"/>
      <c r="H471" s="21">
        <v>0</v>
      </c>
      <c r="I471" s="21">
        <v>0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21">
        <v>0</v>
      </c>
      <c r="P471" s="22">
        <v>0</v>
      </c>
      <c r="Q471" s="21">
        <v>0</v>
      </c>
      <c r="R471" s="21">
        <v>0</v>
      </c>
      <c r="S471" s="21">
        <v>0</v>
      </c>
      <c r="T471">
        <f t="shared" si="55"/>
        <v>0</v>
      </c>
      <c r="U471">
        <f t="shared" si="56"/>
        <v>0</v>
      </c>
      <c r="V471">
        <f t="shared" si="57"/>
        <v>0</v>
      </c>
      <c r="W471">
        <f t="shared" si="58"/>
        <v>0</v>
      </c>
      <c r="X471">
        <f t="shared" si="59"/>
        <v>0</v>
      </c>
      <c r="Y471" t="s">
        <v>31</v>
      </c>
      <c r="Z471">
        <v>1</v>
      </c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</row>
    <row r="472" spans="1:55" x14ac:dyDescent="0.2">
      <c r="A472" t="s">
        <v>25</v>
      </c>
      <c r="B472" s="3" t="s">
        <v>8</v>
      </c>
      <c r="C472" s="3">
        <v>5</v>
      </c>
      <c r="D472" s="3">
        <v>10</v>
      </c>
      <c r="E472" s="3">
        <v>10.5</v>
      </c>
      <c r="F472" s="3">
        <v>7</v>
      </c>
      <c r="G472" s="3">
        <v>24.5</v>
      </c>
      <c r="H472" s="21">
        <v>0</v>
      </c>
      <c r="I472" s="22">
        <v>0.25</v>
      </c>
      <c r="J472" s="22">
        <v>1</v>
      </c>
      <c r="K472" s="22">
        <v>1</v>
      </c>
      <c r="L472" s="22">
        <v>1</v>
      </c>
      <c r="M472" s="22">
        <v>1</v>
      </c>
      <c r="N472" s="22">
        <v>1</v>
      </c>
      <c r="O472" s="22">
        <v>1</v>
      </c>
      <c r="P472" s="22">
        <v>1</v>
      </c>
      <c r="Q472" s="22">
        <v>0.25</v>
      </c>
      <c r="R472" s="22">
        <v>1</v>
      </c>
      <c r="S472" s="22">
        <v>1</v>
      </c>
      <c r="T472">
        <f t="shared" si="55"/>
        <v>5</v>
      </c>
      <c r="U472">
        <f t="shared" si="56"/>
        <v>10</v>
      </c>
      <c r="V472">
        <f t="shared" si="57"/>
        <v>10.5</v>
      </c>
      <c r="W472">
        <f t="shared" si="58"/>
        <v>7</v>
      </c>
      <c r="X472">
        <f t="shared" si="59"/>
        <v>24.5</v>
      </c>
      <c r="Y472" t="s">
        <v>31</v>
      </c>
      <c r="Z472">
        <v>1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Ertl Antal</dc:creator>
  <cp:lastModifiedBy>Antal Ertl</cp:lastModifiedBy>
  <dcterms:created xsi:type="dcterms:W3CDTF">2015-06-05T18:17:20Z</dcterms:created>
  <dcterms:modified xsi:type="dcterms:W3CDTF">2026-02-20T10:12:54Z</dcterms:modified>
</cp:coreProperties>
</file>